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D11FB5A-D149-41DE-B0D0-D2A00065309D}" xr6:coauthVersionLast="47" xr6:coauthVersionMax="47" xr10:uidLastSave="{00000000-0000-0000-0000-000000000000}"/>
  <workbookProtection workbookAlgorithmName="SHA-512" workbookHashValue="dZtzguWEeNDxgZKkE/4/zL67sw//n/0lGe+L8Y0jPLAMYx+aNO1Q7kGMmh2XNLJNo8OYM7JYLSUtzv2mkfk9MA==" workbookSaltValue="IqycdRkfFFug1kp5llqJKQ==" workbookSpinCount="100000" lockStructure="1"/>
  <bookViews>
    <workbookView xWindow="-110" yWindow="-110" windowWidth="19420" windowHeight="10300" tabRatio="375" xr2:uid="{00000000-000D-0000-FFFF-FFFF00000000}"/>
  </bookViews>
  <sheets>
    <sheet name="Class C" sheetId="5" r:id="rId1"/>
    <sheet name="Results" sheetId="6" state="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6" l="1"/>
  <c r="B13" i="6"/>
  <c r="B12" i="6"/>
  <c r="B11" i="6"/>
  <c r="B10" i="6"/>
  <c r="B9" i="6"/>
  <c r="B8" i="6"/>
  <c r="B7" i="6"/>
  <c r="B6" i="6"/>
  <c r="B5" i="6"/>
  <c r="B4" i="6"/>
  <c r="B3" i="6"/>
  <c r="B15" i="6" l="1"/>
  <c r="C15" i="5"/>
  <c r="C14" i="5"/>
  <c r="C13" i="5"/>
  <c r="C12" i="5"/>
  <c r="C7" i="5"/>
  <c r="C6" i="5"/>
  <c r="C5" i="5"/>
  <c r="C4" i="5"/>
  <c r="AJ47" i="5" l="1"/>
  <c r="AJ46" i="5"/>
  <c r="AJ45" i="5"/>
  <c r="AJ44" i="5"/>
  <c r="AJ43" i="5"/>
  <c r="AJ42" i="5"/>
  <c r="AJ39" i="5"/>
  <c r="AJ38" i="5"/>
  <c r="AJ37" i="5"/>
  <c r="AJ36" i="5"/>
  <c r="AJ35" i="5"/>
  <c r="AJ34" i="5"/>
  <c r="AJ31" i="5"/>
  <c r="AJ30" i="5"/>
  <c r="AJ29" i="5"/>
  <c r="AJ28" i="5"/>
  <c r="AJ27" i="5"/>
  <c r="AJ26" i="5"/>
  <c r="AJ23" i="5"/>
  <c r="AJ22" i="5"/>
  <c r="AJ21" i="5"/>
  <c r="AJ20" i="5"/>
  <c r="AJ19" i="5"/>
  <c r="AJ18" i="5"/>
  <c r="AJ15" i="5"/>
  <c r="AJ14" i="5"/>
  <c r="AJ13" i="5"/>
  <c r="AJ12" i="5"/>
  <c r="AJ11" i="5"/>
  <c r="AJ10" i="5"/>
  <c r="AJ7" i="5"/>
  <c r="AJ6" i="5"/>
  <c r="AJ5" i="5"/>
  <c r="AJ4" i="5"/>
  <c r="AJ3" i="5"/>
  <c r="AJ2" i="5"/>
  <c r="L47" i="5"/>
  <c r="L46" i="5"/>
  <c r="L45" i="5"/>
  <c r="L44" i="5"/>
  <c r="L43" i="5"/>
  <c r="L42" i="5"/>
  <c r="L39" i="5"/>
  <c r="L38" i="5"/>
  <c r="L37" i="5"/>
  <c r="L36" i="5"/>
  <c r="L35" i="5"/>
  <c r="L34" i="5"/>
  <c r="L31" i="5"/>
  <c r="L30" i="5"/>
  <c r="L29" i="5"/>
  <c r="L28" i="5"/>
  <c r="L27" i="5"/>
  <c r="L26" i="5"/>
  <c r="L23" i="5"/>
  <c r="L22" i="5"/>
  <c r="L21" i="5"/>
  <c r="L20" i="5"/>
  <c r="L19" i="5"/>
  <c r="L18" i="5"/>
  <c r="L15" i="5"/>
  <c r="L14" i="5"/>
  <c r="L13" i="5"/>
  <c r="L12" i="5"/>
  <c r="L11" i="5"/>
  <c r="L10" i="5"/>
  <c r="L3" i="5"/>
  <c r="L4" i="5"/>
  <c r="L5" i="5"/>
  <c r="L6" i="5"/>
  <c r="L7" i="5"/>
  <c r="L2" i="5"/>
  <c r="AV47" i="5" l="1"/>
  <c r="AU47" i="5"/>
  <c r="AE47" i="5" s="1"/>
  <c r="AT47" i="5"/>
  <c r="AS47" i="5"/>
  <c r="AV46" i="5"/>
  <c r="AU46" i="5"/>
  <c r="AE46" i="5" s="1"/>
  <c r="AT46" i="5"/>
  <c r="AS46" i="5"/>
  <c r="AV45" i="5"/>
  <c r="AU45" i="5"/>
  <c r="AE45" i="5" s="1"/>
  <c r="AT45" i="5"/>
  <c r="AS45" i="5"/>
  <c r="AV44" i="5"/>
  <c r="AU44" i="5"/>
  <c r="AE44" i="5" s="1"/>
  <c r="AT44" i="5"/>
  <c r="AS44" i="5"/>
  <c r="AV43" i="5"/>
  <c r="AU43" i="5"/>
  <c r="AE43" i="5" s="1"/>
  <c r="AT43" i="5"/>
  <c r="AS43" i="5"/>
  <c r="AV39" i="5"/>
  <c r="AU39" i="5"/>
  <c r="AE39" i="5" s="1"/>
  <c r="AT39" i="5"/>
  <c r="AS39" i="5"/>
  <c r="AV38" i="5"/>
  <c r="AU38" i="5"/>
  <c r="AE38" i="5" s="1"/>
  <c r="AT38" i="5"/>
  <c r="AS38" i="5"/>
  <c r="AV37" i="5"/>
  <c r="AU37" i="5"/>
  <c r="AE37" i="5" s="1"/>
  <c r="AT37" i="5"/>
  <c r="AS37" i="5"/>
  <c r="AV36" i="5"/>
  <c r="AU36" i="5"/>
  <c r="AE36" i="5" s="1"/>
  <c r="AT36" i="5"/>
  <c r="AS36" i="5"/>
  <c r="AV35" i="5"/>
  <c r="AU35" i="5"/>
  <c r="AE35" i="5" s="1"/>
  <c r="AT35" i="5"/>
  <c r="AS35" i="5"/>
  <c r="AV31" i="5"/>
  <c r="AU31" i="5"/>
  <c r="AE31" i="5" s="1"/>
  <c r="AT31" i="5"/>
  <c r="AS31" i="5"/>
  <c r="AV30" i="5"/>
  <c r="AU30" i="5"/>
  <c r="AE30" i="5" s="1"/>
  <c r="AT30" i="5"/>
  <c r="AS30" i="5"/>
  <c r="AV29" i="5"/>
  <c r="AU29" i="5"/>
  <c r="AE29" i="5" s="1"/>
  <c r="AT29" i="5"/>
  <c r="AS29" i="5"/>
  <c r="AV28" i="5"/>
  <c r="AU28" i="5"/>
  <c r="AE28" i="5" s="1"/>
  <c r="AT28" i="5"/>
  <c r="AS28" i="5"/>
  <c r="AV27" i="5"/>
  <c r="AU27" i="5"/>
  <c r="AE27" i="5" s="1"/>
  <c r="AT27" i="5"/>
  <c r="AS27" i="5"/>
  <c r="AV23" i="5"/>
  <c r="AU23" i="5"/>
  <c r="AE23" i="5" s="1"/>
  <c r="AT23" i="5"/>
  <c r="AS23" i="5"/>
  <c r="AV22" i="5"/>
  <c r="AU22" i="5"/>
  <c r="AE22" i="5" s="1"/>
  <c r="AT22" i="5"/>
  <c r="AS22" i="5"/>
  <c r="AV21" i="5"/>
  <c r="AU21" i="5"/>
  <c r="AE21" i="5" s="1"/>
  <c r="AT21" i="5"/>
  <c r="AS21" i="5"/>
  <c r="AV20" i="5"/>
  <c r="AU20" i="5"/>
  <c r="AE20" i="5" s="1"/>
  <c r="AT20" i="5"/>
  <c r="AS20" i="5"/>
  <c r="AV19" i="5"/>
  <c r="AU19" i="5"/>
  <c r="AE19" i="5" s="1"/>
  <c r="AT19" i="5"/>
  <c r="AS19" i="5"/>
  <c r="AV15" i="5"/>
  <c r="AU15" i="5"/>
  <c r="AE15" i="5" s="1"/>
  <c r="AT15" i="5"/>
  <c r="AS15" i="5"/>
  <c r="AV14" i="5"/>
  <c r="AU14" i="5"/>
  <c r="AE14" i="5" s="1"/>
  <c r="AT14" i="5"/>
  <c r="AS14" i="5"/>
  <c r="AV13" i="5"/>
  <c r="AU13" i="5"/>
  <c r="AE13" i="5" s="1"/>
  <c r="AT13" i="5"/>
  <c r="AS13" i="5"/>
  <c r="AV12" i="5"/>
  <c r="AU12" i="5"/>
  <c r="AE12" i="5" s="1"/>
  <c r="AT12" i="5"/>
  <c r="AS12" i="5"/>
  <c r="AV11" i="5"/>
  <c r="AU11" i="5"/>
  <c r="AE11" i="5" s="1"/>
  <c r="AT11" i="5"/>
  <c r="AS11" i="5"/>
  <c r="AV7" i="5"/>
  <c r="AU7" i="5"/>
  <c r="AE7" i="5" s="1"/>
  <c r="AT7" i="5"/>
  <c r="AS7" i="5"/>
  <c r="AV6" i="5"/>
  <c r="AU6" i="5"/>
  <c r="AE6" i="5" s="1"/>
  <c r="AT6" i="5"/>
  <c r="AS6" i="5"/>
  <c r="AV5" i="5"/>
  <c r="AU5" i="5"/>
  <c r="AE5" i="5" s="1"/>
  <c r="AT5" i="5"/>
  <c r="AS5" i="5"/>
  <c r="AV4" i="5"/>
  <c r="AU4" i="5"/>
  <c r="AT4" i="5"/>
  <c r="AS4" i="5"/>
  <c r="AV3" i="5"/>
  <c r="AU3" i="5"/>
  <c r="AE3" i="5" s="1"/>
  <c r="AT3" i="5"/>
  <c r="AS3" i="5"/>
  <c r="X47" i="5"/>
  <c r="W47" i="5"/>
  <c r="G47" i="5" s="1"/>
  <c r="V47" i="5"/>
  <c r="U47" i="5"/>
  <c r="X46" i="5"/>
  <c r="W46" i="5"/>
  <c r="G46" i="5" s="1"/>
  <c r="V46" i="5"/>
  <c r="U46" i="5"/>
  <c r="X45" i="5"/>
  <c r="W45" i="5"/>
  <c r="G45" i="5" s="1"/>
  <c r="V45" i="5"/>
  <c r="U45" i="5"/>
  <c r="X44" i="5"/>
  <c r="W44" i="5"/>
  <c r="G44" i="5" s="1"/>
  <c r="V44" i="5"/>
  <c r="U44" i="5"/>
  <c r="X43" i="5"/>
  <c r="W43" i="5"/>
  <c r="G43" i="5" s="1"/>
  <c r="V43" i="5"/>
  <c r="U43" i="5"/>
  <c r="X39" i="5"/>
  <c r="W39" i="5"/>
  <c r="G39" i="5" s="1"/>
  <c r="V39" i="5"/>
  <c r="U39" i="5"/>
  <c r="X38" i="5"/>
  <c r="W38" i="5"/>
  <c r="G38" i="5" s="1"/>
  <c r="V38" i="5"/>
  <c r="U38" i="5"/>
  <c r="X37" i="5"/>
  <c r="W37" i="5"/>
  <c r="G37" i="5" s="1"/>
  <c r="V37" i="5"/>
  <c r="U37" i="5"/>
  <c r="X36" i="5"/>
  <c r="W36" i="5"/>
  <c r="G36" i="5" s="1"/>
  <c r="V36" i="5"/>
  <c r="U36" i="5"/>
  <c r="X35" i="5"/>
  <c r="W35" i="5"/>
  <c r="G35" i="5" s="1"/>
  <c r="V35" i="5"/>
  <c r="U35" i="5"/>
  <c r="X31" i="5"/>
  <c r="W31" i="5"/>
  <c r="G31" i="5" s="1"/>
  <c r="V31" i="5"/>
  <c r="U31" i="5"/>
  <c r="X30" i="5"/>
  <c r="W30" i="5"/>
  <c r="G30" i="5" s="1"/>
  <c r="V30" i="5"/>
  <c r="U30" i="5"/>
  <c r="X29" i="5"/>
  <c r="W29" i="5"/>
  <c r="G29" i="5" s="1"/>
  <c r="V29" i="5"/>
  <c r="U29" i="5"/>
  <c r="X28" i="5"/>
  <c r="W28" i="5"/>
  <c r="G28" i="5" s="1"/>
  <c r="V28" i="5"/>
  <c r="U28" i="5"/>
  <c r="X27" i="5"/>
  <c r="W27" i="5"/>
  <c r="G27" i="5" s="1"/>
  <c r="V27" i="5"/>
  <c r="U27" i="5"/>
  <c r="X23" i="5"/>
  <c r="W23" i="5"/>
  <c r="G23" i="5" s="1"/>
  <c r="V23" i="5"/>
  <c r="U23" i="5"/>
  <c r="X22" i="5"/>
  <c r="W22" i="5"/>
  <c r="G22" i="5" s="1"/>
  <c r="V22" i="5"/>
  <c r="U22" i="5"/>
  <c r="X21" i="5"/>
  <c r="W21" i="5"/>
  <c r="G21" i="5" s="1"/>
  <c r="V21" i="5"/>
  <c r="U21" i="5"/>
  <c r="X20" i="5"/>
  <c r="W20" i="5"/>
  <c r="G20" i="5" s="1"/>
  <c r="V20" i="5"/>
  <c r="U20" i="5"/>
  <c r="X19" i="5"/>
  <c r="W19" i="5"/>
  <c r="G19" i="5" s="1"/>
  <c r="V19" i="5"/>
  <c r="U19" i="5"/>
  <c r="X15" i="5"/>
  <c r="W15" i="5"/>
  <c r="G15" i="5" s="1"/>
  <c r="V15" i="5"/>
  <c r="U15" i="5"/>
  <c r="X14" i="5"/>
  <c r="W14" i="5"/>
  <c r="G14" i="5" s="1"/>
  <c r="V14" i="5"/>
  <c r="U14" i="5"/>
  <c r="X13" i="5"/>
  <c r="W13" i="5"/>
  <c r="G13" i="5" s="1"/>
  <c r="V13" i="5"/>
  <c r="U13" i="5"/>
  <c r="X12" i="5"/>
  <c r="W12" i="5"/>
  <c r="G12" i="5" s="1"/>
  <c r="V12" i="5"/>
  <c r="U12" i="5"/>
  <c r="X11" i="5"/>
  <c r="W11" i="5"/>
  <c r="G11" i="5" s="1"/>
  <c r="V11" i="5"/>
  <c r="U11" i="5"/>
  <c r="X4" i="5"/>
  <c r="X5" i="5"/>
  <c r="X6" i="5"/>
  <c r="X7" i="5"/>
  <c r="X3" i="5"/>
  <c r="AL47" i="5"/>
  <c r="AA47" i="5"/>
  <c r="AL46" i="5"/>
  <c r="AA46" i="5"/>
  <c r="AL45" i="5"/>
  <c r="AA45" i="5"/>
  <c r="AL44" i="5"/>
  <c r="AA44" i="5"/>
  <c r="AN43" i="5"/>
  <c r="AN44" i="5" s="1"/>
  <c r="AN45" i="5" s="1"/>
  <c r="AM43" i="5"/>
  <c r="AM47" i="5" s="1"/>
  <c r="AM46" i="5" s="1"/>
  <c r="AR42" i="5"/>
  <c r="AR43" i="5" s="1"/>
  <c r="AL39" i="5"/>
  <c r="AA39" i="5"/>
  <c r="AL38" i="5"/>
  <c r="AA38" i="5"/>
  <c r="AL37" i="5"/>
  <c r="AA37" i="5"/>
  <c r="AL36" i="5"/>
  <c r="AA36" i="5"/>
  <c r="AN35" i="5"/>
  <c r="AN39" i="5" s="1"/>
  <c r="AN38" i="5" s="1"/>
  <c r="AM35" i="5"/>
  <c r="AM36" i="5" s="1"/>
  <c r="AM37" i="5" s="1"/>
  <c r="AR34" i="5"/>
  <c r="AR35" i="5" s="1"/>
  <c r="AL31" i="5"/>
  <c r="AA31" i="5"/>
  <c r="AL30" i="5"/>
  <c r="AA30" i="5"/>
  <c r="AL29" i="5"/>
  <c r="AA29" i="5"/>
  <c r="AL28" i="5"/>
  <c r="AA28" i="5"/>
  <c r="AN27" i="5"/>
  <c r="AN28" i="5" s="1"/>
  <c r="AN29" i="5" s="1"/>
  <c r="AM27" i="5"/>
  <c r="AM31" i="5" s="1"/>
  <c r="AM30" i="5" s="1"/>
  <c r="AR26" i="5"/>
  <c r="AR27" i="5" s="1"/>
  <c r="AR28" i="5" s="1"/>
  <c r="AL23" i="5"/>
  <c r="AA23" i="5"/>
  <c r="AL22" i="5"/>
  <c r="AA22" i="5"/>
  <c r="AL21" i="5"/>
  <c r="AA21" i="5"/>
  <c r="AL20" i="5"/>
  <c r="AA20" i="5"/>
  <c r="AN19" i="5"/>
  <c r="AN23" i="5" s="1"/>
  <c r="AN22" i="5" s="1"/>
  <c r="AM19" i="5"/>
  <c r="AM23" i="5" s="1"/>
  <c r="AM22" i="5" s="1"/>
  <c r="AR18" i="5"/>
  <c r="AR19" i="5" s="1"/>
  <c r="AL15" i="5"/>
  <c r="AA15" i="5"/>
  <c r="AL14" i="5"/>
  <c r="AA14" i="5"/>
  <c r="AL13" i="5"/>
  <c r="AA13" i="5"/>
  <c r="AL12" i="5"/>
  <c r="AA12" i="5"/>
  <c r="AN11" i="5"/>
  <c r="AN12" i="5" s="1"/>
  <c r="AN13" i="5" s="1"/>
  <c r="AM11" i="5"/>
  <c r="AM15" i="5" s="1"/>
  <c r="AM14" i="5" s="1"/>
  <c r="AR10" i="5"/>
  <c r="AR11" i="5" s="1"/>
  <c r="AL7" i="5"/>
  <c r="AA7" i="5"/>
  <c r="AL6" i="5"/>
  <c r="AA6" i="5"/>
  <c r="AL5" i="5"/>
  <c r="AA5" i="5"/>
  <c r="AL4" i="5"/>
  <c r="AA4" i="5"/>
  <c r="AN3" i="5"/>
  <c r="AN7" i="5" s="1"/>
  <c r="AN6" i="5" s="1"/>
  <c r="AM3" i="5"/>
  <c r="AM7" i="5" s="1"/>
  <c r="AM6" i="5" s="1"/>
  <c r="AR2" i="5"/>
  <c r="AR3" i="5" s="1"/>
  <c r="N47" i="5"/>
  <c r="C47" i="5"/>
  <c r="N46" i="5"/>
  <c r="C46" i="5"/>
  <c r="N45" i="5"/>
  <c r="C45" i="5"/>
  <c r="N44" i="5"/>
  <c r="C44" i="5"/>
  <c r="P43" i="5"/>
  <c r="P44" i="5" s="1"/>
  <c r="P45" i="5" s="1"/>
  <c r="O43" i="5"/>
  <c r="O44" i="5" s="1"/>
  <c r="O45" i="5" s="1"/>
  <c r="T42" i="5"/>
  <c r="T43" i="5" s="1"/>
  <c r="N39" i="5"/>
  <c r="C39" i="5"/>
  <c r="N38" i="5"/>
  <c r="C38" i="5"/>
  <c r="N37" i="5"/>
  <c r="C37" i="5"/>
  <c r="N36" i="5"/>
  <c r="C36" i="5"/>
  <c r="P35" i="5"/>
  <c r="P39" i="5" s="1"/>
  <c r="P38" i="5" s="1"/>
  <c r="O35" i="5"/>
  <c r="O39" i="5" s="1"/>
  <c r="O38" i="5" s="1"/>
  <c r="T34" i="5"/>
  <c r="T35" i="5" s="1"/>
  <c r="T36" i="5" s="1"/>
  <c r="N31" i="5"/>
  <c r="C31" i="5"/>
  <c r="N30" i="5"/>
  <c r="C30" i="5"/>
  <c r="N29" i="5"/>
  <c r="C29" i="5"/>
  <c r="N28" i="5"/>
  <c r="C28" i="5"/>
  <c r="P27" i="5"/>
  <c r="P31" i="5" s="1"/>
  <c r="P30" i="5" s="1"/>
  <c r="O27" i="5"/>
  <c r="O28" i="5" s="1"/>
  <c r="O29" i="5" s="1"/>
  <c r="T26" i="5"/>
  <c r="T27" i="5" s="1"/>
  <c r="N23" i="5"/>
  <c r="C23" i="5"/>
  <c r="N22" i="5"/>
  <c r="C22" i="5"/>
  <c r="N21" i="5"/>
  <c r="C21" i="5"/>
  <c r="N20" i="5"/>
  <c r="C20" i="5"/>
  <c r="P19" i="5"/>
  <c r="P23" i="5" s="1"/>
  <c r="P22" i="5" s="1"/>
  <c r="O19" i="5"/>
  <c r="O23" i="5" s="1"/>
  <c r="O22" i="5" s="1"/>
  <c r="T18" i="5"/>
  <c r="T19" i="5" s="1"/>
  <c r="T20" i="5" s="1"/>
  <c r="N15" i="5"/>
  <c r="N14" i="5"/>
  <c r="N13" i="5"/>
  <c r="N12" i="5"/>
  <c r="P11" i="5"/>
  <c r="P15" i="5" s="1"/>
  <c r="P14" i="5" s="1"/>
  <c r="O11" i="5"/>
  <c r="O15" i="5" s="1"/>
  <c r="O14" i="5" s="1"/>
  <c r="T10" i="5"/>
  <c r="T11" i="5" s="1"/>
  <c r="AE4" i="5" l="1"/>
  <c r="W42" i="5"/>
  <c r="L41" i="5" s="1"/>
  <c r="W18" i="5"/>
  <c r="L17" i="5" s="1"/>
  <c r="W34" i="5"/>
  <c r="L33" i="5" s="1"/>
  <c r="AU10" i="5"/>
  <c r="AJ9" i="5" s="1"/>
  <c r="AU34" i="5"/>
  <c r="AJ33" i="5" s="1"/>
  <c r="AU2" i="5"/>
  <c r="AU42" i="5"/>
  <c r="AJ41" i="5" s="1"/>
  <c r="AU26" i="5"/>
  <c r="AJ25" i="5" s="1"/>
  <c r="AU18" i="5"/>
  <c r="AJ17" i="5" s="1"/>
  <c r="W26" i="5"/>
  <c r="L25" i="5" s="1"/>
  <c r="W10" i="5"/>
  <c r="L9" i="5" s="1"/>
  <c r="O20" i="5"/>
  <c r="O21" i="5" s="1"/>
  <c r="O36" i="5"/>
  <c r="O37" i="5" s="1"/>
  <c r="AR44" i="5"/>
  <c r="AR47" i="5" s="1"/>
  <c r="AR36" i="5"/>
  <c r="AR39" i="5" s="1"/>
  <c r="AN36" i="5"/>
  <c r="AN37" i="5" s="1"/>
  <c r="AN47" i="5"/>
  <c r="AN46" i="5" s="1"/>
  <c r="AM39" i="5"/>
  <c r="AM38" i="5" s="1"/>
  <c r="AM44" i="5"/>
  <c r="AM45" i="5" s="1"/>
  <c r="P36" i="5"/>
  <c r="P37" i="5" s="1"/>
  <c r="AM20" i="5"/>
  <c r="AM21" i="5" s="1"/>
  <c r="P28" i="5"/>
  <c r="P29" i="5" s="1"/>
  <c r="AN20" i="5"/>
  <c r="AN21" i="5" s="1"/>
  <c r="AN4" i="5"/>
  <c r="AN5" i="5" s="1"/>
  <c r="P20" i="5"/>
  <c r="P21" i="5" s="1"/>
  <c r="P12" i="5"/>
  <c r="P13" i="5" s="1"/>
  <c r="AR30" i="5"/>
  <c r="AR29" i="5"/>
  <c r="AO27" i="5" s="1"/>
  <c r="AN31" i="5"/>
  <c r="AN30" i="5" s="1"/>
  <c r="AM28" i="5"/>
  <c r="AM29" i="5" s="1"/>
  <c r="AR31" i="5"/>
  <c r="AR20" i="5"/>
  <c r="AR12" i="5"/>
  <c r="AR15" i="5" s="1"/>
  <c r="AM12" i="5"/>
  <c r="AM13" i="5" s="1"/>
  <c r="AN15" i="5"/>
  <c r="AN14" i="5" s="1"/>
  <c r="AR4" i="5"/>
  <c r="AR7" i="5" s="1"/>
  <c r="AM4" i="5"/>
  <c r="AM5" i="5" s="1"/>
  <c r="T44" i="5"/>
  <c r="T47" i="5" s="1"/>
  <c r="O47" i="5"/>
  <c r="O46" i="5" s="1"/>
  <c r="P47" i="5"/>
  <c r="P46" i="5" s="1"/>
  <c r="T37" i="5"/>
  <c r="Q35" i="5" s="1"/>
  <c r="T38" i="5"/>
  <c r="T39" i="5"/>
  <c r="T28" i="5"/>
  <c r="O31" i="5"/>
  <c r="O30" i="5" s="1"/>
  <c r="T22" i="5"/>
  <c r="T21" i="5"/>
  <c r="Q19" i="5" s="1"/>
  <c r="T23" i="5"/>
  <c r="T12" i="5"/>
  <c r="T15" i="5" s="1"/>
  <c r="O12" i="5"/>
  <c r="O13" i="5" s="1"/>
  <c r="N7" i="5"/>
  <c r="N6" i="5"/>
  <c r="N5" i="5"/>
  <c r="AJ1" i="5" l="1"/>
  <c r="AR46" i="5"/>
  <c r="AR45" i="5"/>
  <c r="AO43" i="5" s="1"/>
  <c r="AR37" i="5"/>
  <c r="AO35" i="5" s="1"/>
  <c r="AR38" i="5"/>
  <c r="AO28" i="5"/>
  <c r="AO29" i="5" s="1"/>
  <c r="AR21" i="5"/>
  <c r="AO19" i="5" s="1"/>
  <c r="AR22" i="5"/>
  <c r="AR23" i="5"/>
  <c r="AR14" i="5"/>
  <c r="AR13" i="5"/>
  <c r="AO11" i="5" s="1"/>
  <c r="AR6" i="5"/>
  <c r="AR5" i="5"/>
  <c r="AO3" i="5" s="1"/>
  <c r="T45" i="5"/>
  <c r="Q43" i="5" s="1"/>
  <c r="T46" i="5"/>
  <c r="Q36" i="5"/>
  <c r="Q37" i="5" s="1"/>
  <c r="T29" i="5"/>
  <c r="Q27" i="5" s="1"/>
  <c r="T30" i="5"/>
  <c r="T31" i="5"/>
  <c r="Q20" i="5"/>
  <c r="Q21" i="5" s="1"/>
  <c r="T14" i="5"/>
  <c r="T13" i="5"/>
  <c r="Q11" i="5" s="1"/>
  <c r="N4" i="5"/>
  <c r="T2" i="5"/>
  <c r="AO31" i="5" l="1"/>
  <c r="AO30" i="5" s="1"/>
  <c r="AO36" i="5"/>
  <c r="AO37" i="5" s="1"/>
  <c r="AO44" i="5"/>
  <c r="AO45" i="5" s="1"/>
  <c r="AO20" i="5"/>
  <c r="AO21" i="5" s="1"/>
  <c r="AO12" i="5"/>
  <c r="AO13" i="5" s="1"/>
  <c r="AO4" i="5"/>
  <c r="AO5" i="5" s="1"/>
  <c r="Q44" i="5"/>
  <c r="Q45" i="5" s="1"/>
  <c r="Q39" i="5"/>
  <c r="Q38" i="5" s="1"/>
  <c r="Q28" i="5"/>
  <c r="Q29" i="5" s="1"/>
  <c r="Q23" i="5"/>
  <c r="Q22" i="5" s="1"/>
  <c r="Q12" i="5"/>
  <c r="Q13" i="5" s="1"/>
  <c r="T3" i="5"/>
  <c r="AO47" i="5" l="1"/>
  <c r="AO46" i="5" s="1"/>
  <c r="AO39" i="5"/>
  <c r="AO38" i="5" s="1"/>
  <c r="Q47" i="5"/>
  <c r="Q46" i="5" s="1"/>
  <c r="AO7" i="5"/>
  <c r="AO6" i="5" s="1"/>
  <c r="AO23" i="5"/>
  <c r="AO22" i="5" s="1"/>
  <c r="AO15" i="5"/>
  <c r="AO14" i="5" s="1"/>
  <c r="Q31" i="5"/>
  <c r="Q30" i="5" s="1"/>
  <c r="Q15" i="5"/>
  <c r="Q14" i="5" s="1"/>
  <c r="T4" i="5"/>
  <c r="T7" i="5" s="1"/>
  <c r="O3" i="5"/>
  <c r="U3" i="5" s="1"/>
  <c r="T5" i="5" l="1"/>
  <c r="Q3" i="5" s="1"/>
  <c r="W3" i="5" s="1"/>
  <c r="G3" i="5" s="1"/>
  <c r="T6" i="5"/>
  <c r="P3" i="5"/>
  <c r="V3" i="5" s="1"/>
  <c r="O4" i="5"/>
  <c r="Q4" i="5" l="1"/>
  <c r="O7" i="5"/>
  <c r="U4" i="5"/>
  <c r="P4" i="5"/>
  <c r="P7" i="5"/>
  <c r="O5" i="5"/>
  <c r="U5" i="5" s="1"/>
  <c r="Q5" i="5" l="1"/>
  <c r="W5" i="5" s="1"/>
  <c r="G5" i="5" s="1"/>
  <c r="W4" i="5"/>
  <c r="P6" i="5"/>
  <c r="V6" i="5" s="1"/>
  <c r="V7" i="5"/>
  <c r="P5" i="5"/>
  <c r="V5" i="5" s="1"/>
  <c r="V4" i="5"/>
  <c r="O6" i="5"/>
  <c r="U6" i="5" s="1"/>
  <c r="U7" i="5"/>
  <c r="Q7" i="5"/>
  <c r="G4" i="5" l="1"/>
  <c r="Q6" i="5"/>
  <c r="W6" i="5" s="1"/>
  <c r="G6" i="5" s="1"/>
  <c r="W7" i="5"/>
  <c r="G7" i="5" s="1"/>
  <c r="W2" i="5" l="1"/>
  <c r="L1" i="5" s="1"/>
</calcChain>
</file>

<file path=xl/sharedStrings.xml><?xml version="1.0" encoding="utf-8"?>
<sst xmlns="http://schemas.openxmlformats.org/spreadsheetml/2006/main" count="313" uniqueCount="27">
  <si>
    <t>Network ID :</t>
  </si>
  <si>
    <t>Broadcast ID :</t>
  </si>
  <si>
    <t>IP Address:</t>
  </si>
  <si>
    <t xml:space="preserve">Subnet Mask: </t>
  </si>
  <si>
    <t>/</t>
  </si>
  <si>
    <t>First Valid Host:</t>
  </si>
  <si>
    <t>Last Valid Host:</t>
  </si>
  <si>
    <t>Subnet Bits</t>
  </si>
  <si>
    <t>Mask</t>
  </si>
  <si>
    <t>Net ID</t>
  </si>
  <si>
    <t>Broad ID</t>
  </si>
  <si>
    <t>First</t>
  </si>
  <si>
    <t>Last</t>
  </si>
  <si>
    <t>Class</t>
  </si>
  <si>
    <t>Network Bits</t>
  </si>
  <si>
    <t>Subnets</t>
  </si>
  <si>
    <t>Block Size</t>
  </si>
  <si>
    <t>Hosts</t>
  </si>
  <si>
    <t>Points</t>
  </si>
  <si>
    <t>Network Bits:</t>
  </si>
  <si>
    <t>Subnet Bits:</t>
  </si>
  <si>
    <t>Block Size:</t>
  </si>
  <si>
    <t># of Subnets:</t>
  </si>
  <si>
    <t># of Hosts:</t>
  </si>
  <si>
    <t>Default Class:</t>
  </si>
  <si>
    <t>Results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</si>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</sst>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A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A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0" xfId="1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4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0" fillId="0" borderId="6" xfId="0" applyBorder="1"/>
    <xf numFmtId="0" fontId="0" fillId="0" borderId="11" xfId="0" applyBorder="1"/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0" fillId="0" borderId="11" xfId="0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4" xfId="0" applyFont="1" applyBorder="1" applyAlignment="1" applyProtection="1">
      <alignment horizontal="center"/>
      <protection locked="0"/>
    </xf>
    <xf numFmtId="9" fontId="0" fillId="0" borderId="6" xfId="2" applyFont="1" applyFill="1" applyBorder="1" applyAlignment="1" applyProtection="1">
      <alignment horizontal="right"/>
    </xf>
    <xf numFmtId="9" fontId="8" fillId="0" borderId="7" xfId="2" applyFont="1" applyFill="1" applyBorder="1" applyAlignment="1" applyProtection="1">
      <alignment horizontal="right"/>
    </xf>
    <xf numFmtId="9" fontId="0" fillId="0" borderId="0" xfId="0" applyNumberForma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4"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work\4-NADO\Subnetting\Worksheets\Worksheet%20-%20Subnetting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C"/>
      <sheetName val="Results"/>
    </sheetNames>
    <sheetDataSet>
      <sheetData sheetId="0">
        <row r="1">
          <cell r="L1" t="str">
            <v/>
          </cell>
          <cell r="AJ1" t="str">
            <v/>
          </cell>
        </row>
        <row r="9">
          <cell r="L9" t="str">
            <v/>
          </cell>
          <cell r="AJ9" t="str">
            <v/>
          </cell>
        </row>
        <row r="17">
          <cell r="L17" t="str">
            <v/>
          </cell>
          <cell r="AJ17" t="str">
            <v/>
          </cell>
        </row>
        <row r="25">
          <cell r="L25" t="str">
            <v/>
          </cell>
          <cell r="AJ25" t="str">
            <v/>
          </cell>
        </row>
        <row r="33">
          <cell r="L33" t="str">
            <v/>
          </cell>
          <cell r="AJ33" t="str">
            <v/>
          </cell>
        </row>
        <row r="41">
          <cell r="L41" t="str">
            <v/>
          </cell>
          <cell r="AJ41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4"/>
  <sheetViews>
    <sheetView showGridLines="0" tabSelected="1" topLeftCell="C12" zoomScaleNormal="100" workbookViewId="0">
      <selection activeCell="AI2" sqref="AI2"/>
    </sheetView>
  </sheetViews>
  <sheetFormatPr defaultColWidth="9.1796875" defaultRowHeight="14.5" x14ac:dyDescent="0.35"/>
  <cols>
    <col min="1" max="1" width="3" style="8" customWidth="1"/>
    <col min="2" max="2" width="17.1796875" customWidth="1"/>
    <col min="3" max="6" width="5.7265625" style="19" customWidth="1"/>
    <col min="7" max="8" width="5.7265625" customWidth="1"/>
    <col min="9" max="9" width="3" customWidth="1"/>
    <col min="10" max="10" width="14.26953125" customWidth="1"/>
    <col min="11" max="11" width="12.54296875" customWidth="1"/>
    <col min="12" max="12" width="5.7265625" style="12" customWidth="1"/>
    <col min="13" max="13" width="12.453125" hidden="1" customWidth="1"/>
    <col min="14" max="18" width="6.453125" hidden="1" customWidth="1"/>
    <col min="19" max="19" width="14.81640625" hidden="1" customWidth="1"/>
    <col min="20" max="20" width="10.26953125" hidden="1" customWidth="1"/>
    <col min="21" max="24" width="5" hidden="1" customWidth="1"/>
    <col min="25" max="25" width="3" style="12" bestFit="1" customWidth="1"/>
    <col min="26" max="26" width="17.1796875" customWidth="1"/>
    <col min="27" max="32" width="5.7265625" customWidth="1"/>
    <col min="33" max="33" width="3" customWidth="1"/>
    <col min="34" max="34" width="14.26953125" customWidth="1"/>
    <col min="35" max="35" width="12.54296875" customWidth="1"/>
    <col min="36" max="36" width="5.7265625" style="12" customWidth="1"/>
    <col min="37" max="37" width="12.453125" hidden="1" customWidth="1"/>
    <col min="38" max="42" width="6.453125" hidden="1" customWidth="1"/>
    <col min="43" max="43" width="13.54296875" hidden="1" customWidth="1"/>
    <col min="44" max="44" width="9.1796875" hidden="1" customWidth="1"/>
    <col min="45" max="48" width="5" hidden="1" customWidth="1"/>
  </cols>
  <sheetData>
    <row r="1" spans="1:48" x14ac:dyDescent="0.35">
      <c r="A1" s="39">
        <v>1</v>
      </c>
      <c r="B1" s="27"/>
      <c r="C1" s="36"/>
      <c r="D1" s="36"/>
      <c r="E1" s="36"/>
      <c r="F1" s="36"/>
      <c r="G1" s="27"/>
      <c r="H1" s="27"/>
      <c r="I1" s="27"/>
      <c r="J1" s="27"/>
      <c r="K1" s="27"/>
      <c r="L1" s="51">
        <f>IF(W2&lt;3,"",(SUM(G3:G7)+SUM(L2:L7))/21)</f>
        <v>1</v>
      </c>
      <c r="Y1" s="39">
        <v>7</v>
      </c>
      <c r="Z1" s="27"/>
      <c r="AA1" s="27"/>
      <c r="AB1" s="27"/>
      <c r="AC1" s="27"/>
      <c r="AD1" s="27"/>
      <c r="AE1" s="27"/>
      <c r="AF1" s="27"/>
      <c r="AG1" s="27"/>
      <c r="AH1" s="27"/>
      <c r="AI1" s="50"/>
      <c r="AJ1" s="51">
        <f>IF(AU2&lt;3,"",(SUM(AE3:AE7)+SUM(AJ2:AJ7))/21)</f>
        <v>1</v>
      </c>
    </row>
    <row r="2" spans="1:48" s="2" customFormat="1" x14ac:dyDescent="0.35">
      <c r="A2" s="40"/>
      <c r="B2" s="2" t="s">
        <v>2</v>
      </c>
      <c r="C2" s="3">
        <v>192</v>
      </c>
      <c r="D2" s="4">
        <v>168</v>
      </c>
      <c r="E2" s="5">
        <v>10</v>
      </c>
      <c r="F2" s="3">
        <v>241</v>
      </c>
      <c r="G2" s="6" t="s">
        <v>4</v>
      </c>
      <c r="H2" s="1">
        <v>25</v>
      </c>
      <c r="I2" s="1"/>
      <c r="J2" t="s">
        <v>24</v>
      </c>
      <c r="K2" s="49" t="s">
        <v>26</v>
      </c>
      <c r="L2" s="47">
        <f>IF(K2="","",IF(K2=T2,1,0))</f>
        <v>1</v>
      </c>
      <c r="S2" s="7" t="s">
        <v>13</v>
      </c>
      <c r="T2" s="8" t="str">
        <f>IF(C2&lt;128,"A",IF(C2&lt;192,"B","C"))</f>
        <v>C</v>
      </c>
      <c r="U2" s="53" t="s">
        <v>18</v>
      </c>
      <c r="V2" s="54"/>
      <c r="W2" s="53">
        <f>SUM(U3:X7)</f>
        <v>20</v>
      </c>
      <c r="X2" s="55"/>
      <c r="Y2" s="40"/>
      <c r="Z2" s="2" t="s">
        <v>2</v>
      </c>
      <c r="AA2" s="3">
        <v>192</v>
      </c>
      <c r="AB2" s="4">
        <v>168</v>
      </c>
      <c r="AC2" s="5">
        <v>70</v>
      </c>
      <c r="AD2" s="3">
        <v>75</v>
      </c>
      <c r="AE2" s="6" t="s">
        <v>4</v>
      </c>
      <c r="AF2" s="1">
        <v>25</v>
      </c>
      <c r="AG2" s="1"/>
      <c r="AH2" t="s">
        <v>24</v>
      </c>
      <c r="AI2" s="25" t="s">
        <v>26</v>
      </c>
      <c r="AJ2" s="47">
        <f>IF(AI2="","",IF(AI2=AR2,1,0))</f>
        <v>1</v>
      </c>
      <c r="AQ2" s="7" t="s">
        <v>13</v>
      </c>
      <c r="AR2" s="8" t="str">
        <f>IF(AA2&lt;128,"A",IF(AA2&lt;192,"B","C"))</f>
        <v>C</v>
      </c>
      <c r="AS2" s="53" t="s">
        <v>18</v>
      </c>
      <c r="AT2" s="54"/>
      <c r="AU2" s="53">
        <f>SUM(AS3:AV7)</f>
        <v>20</v>
      </c>
      <c r="AV2" s="54"/>
    </row>
    <row r="3" spans="1:48" x14ac:dyDescent="0.35">
      <c r="A3" s="40"/>
      <c r="B3" t="s">
        <v>3</v>
      </c>
      <c r="C3" s="9">
        <v>255</v>
      </c>
      <c r="D3" s="21">
        <v>255</v>
      </c>
      <c r="E3" s="21">
        <v>255</v>
      </c>
      <c r="F3" s="21">
        <v>128</v>
      </c>
      <c r="G3" s="48">
        <f>IF(D3="","",IF(E3="","",IF(F3="","",SUM(U3:W3))))</f>
        <v>3</v>
      </c>
      <c r="J3" s="10" t="s">
        <v>19</v>
      </c>
      <c r="K3" s="21">
        <v>24</v>
      </c>
      <c r="L3" s="47">
        <f t="shared" ref="L3:L7" si="0">IF(K3="","",IF(K3=T3,1,0))</f>
        <v>1</v>
      </c>
      <c r="M3" s="11" t="s">
        <v>8</v>
      </c>
      <c r="N3" s="12">
        <v>255</v>
      </c>
      <c r="O3" s="12">
        <f>IF(H2=8,0,IF(H2&gt;=16,255,256-T5))</f>
        <v>255</v>
      </c>
      <c r="P3" s="12">
        <f>IF(H2&lt;16,0,IF(H2&gt;=24,255,256-T5))</f>
        <v>255</v>
      </c>
      <c r="Q3" s="12">
        <f>IF(H2&gt;24,256-T5,0)</f>
        <v>128</v>
      </c>
      <c r="R3" s="12"/>
      <c r="S3" s="11" t="s">
        <v>14</v>
      </c>
      <c r="T3" s="12">
        <f>IF(T2="A",8,IF(T2="B",16,24))</f>
        <v>24</v>
      </c>
      <c r="U3" s="13">
        <f t="shared" ref="U3:W7" si="1">IF(D3="","",IF(D3=O3,1,0))</f>
        <v>1</v>
      </c>
      <c r="V3" s="13">
        <f t="shared" si="1"/>
        <v>1</v>
      </c>
      <c r="W3" s="13">
        <f t="shared" si="1"/>
        <v>1</v>
      </c>
      <c r="X3" s="42">
        <f>IF(K3="","",IF(K3=T3,1,0))</f>
        <v>1</v>
      </c>
      <c r="Y3" s="40"/>
      <c r="Z3" t="s">
        <v>3</v>
      </c>
      <c r="AA3" s="9">
        <v>255</v>
      </c>
      <c r="AB3" s="21">
        <v>255</v>
      </c>
      <c r="AC3" s="21">
        <v>255</v>
      </c>
      <c r="AD3" s="21">
        <v>128</v>
      </c>
      <c r="AE3" s="48">
        <f>IF(AB3="","",IF(AC3="","",IF(AD3="","",SUM(AS3:AU3))))</f>
        <v>3</v>
      </c>
      <c r="AH3" s="10" t="s">
        <v>19</v>
      </c>
      <c r="AI3" s="26">
        <v>24</v>
      </c>
      <c r="AJ3" s="47">
        <f t="shared" ref="AJ3:AJ7" si="2">IF(AI3="","",IF(AI3=AR3,1,0))</f>
        <v>1</v>
      </c>
      <c r="AK3" s="11" t="s">
        <v>8</v>
      </c>
      <c r="AL3" s="12">
        <v>255</v>
      </c>
      <c r="AM3" s="12">
        <f>IF(AF2=8,0,IF(AF2&gt;=16,255,256-AR5))</f>
        <v>255</v>
      </c>
      <c r="AN3" s="12">
        <f>IF(AF2&lt;16,0,IF(AF2&gt;=24,255,256-AR5))</f>
        <v>255</v>
      </c>
      <c r="AO3" s="12">
        <f>IF(AF2&gt;24,256-AR5,0)</f>
        <v>128</v>
      </c>
      <c r="AP3" s="12"/>
      <c r="AQ3" s="11" t="s">
        <v>14</v>
      </c>
      <c r="AR3" s="12">
        <f>IF(AR2="A",8,IF(AR2="B",16,24))</f>
        <v>24</v>
      </c>
      <c r="AS3" s="13">
        <f>IF(AB3="","",IF(AB3=AM3,1,0))</f>
        <v>1</v>
      </c>
      <c r="AT3" s="13">
        <f>IF(AC3="","",IF(AC3=AN3,1,0))</f>
        <v>1</v>
      </c>
      <c r="AU3" s="13">
        <f>IF(AD3="","",IF(AD3=AO3,1,0))</f>
        <v>1</v>
      </c>
      <c r="AV3" s="13">
        <f>IF(AI3="","",IF(AI3=AR3,1,0))</f>
        <v>1</v>
      </c>
    </row>
    <row r="4" spans="1:48" x14ac:dyDescent="0.35">
      <c r="A4" s="40"/>
      <c r="B4" s="14" t="s">
        <v>0</v>
      </c>
      <c r="C4" s="15">
        <f>$C$2</f>
        <v>192</v>
      </c>
      <c r="D4" s="22">
        <v>168</v>
      </c>
      <c r="E4" s="23">
        <v>10</v>
      </c>
      <c r="F4" s="24">
        <v>128</v>
      </c>
      <c r="G4" s="48">
        <f>IF(D4="","",IF(E4="","",IF(F4="","",SUM(U4:W4))))</f>
        <v>3</v>
      </c>
      <c r="J4" s="10" t="s">
        <v>20</v>
      </c>
      <c r="K4" s="21">
        <v>1</v>
      </c>
      <c r="L4" s="47">
        <f t="shared" si="0"/>
        <v>1</v>
      </c>
      <c r="M4" s="11" t="s">
        <v>9</v>
      </c>
      <c r="N4" s="12">
        <f>C2</f>
        <v>192</v>
      </c>
      <c r="O4" s="12">
        <f>IF(O3=0,0,IF(O3=255,D2,T5*(INT(D2/T5))))</f>
        <v>168</v>
      </c>
      <c r="P4" s="12">
        <f>IF(P3=0,0,IF(P3=255,E2,T5*(INT(E2/T5))))</f>
        <v>10</v>
      </c>
      <c r="Q4" s="12">
        <f>IF(Q3=0,0,T5*(INT(F2/T5)))</f>
        <v>128</v>
      </c>
      <c r="R4" s="12"/>
      <c r="S4" s="11" t="s">
        <v>7</v>
      </c>
      <c r="T4" s="12">
        <f>H2-T3</f>
        <v>1</v>
      </c>
      <c r="U4" s="13">
        <f t="shared" si="1"/>
        <v>1</v>
      </c>
      <c r="V4" s="13">
        <f t="shared" si="1"/>
        <v>1</v>
      </c>
      <c r="W4" s="13">
        <f t="shared" si="1"/>
        <v>1</v>
      </c>
      <c r="X4" s="42">
        <f t="shared" ref="X4:X7" si="3">IF(K4="","",IF(K4=T4,1,0))</f>
        <v>1</v>
      </c>
      <c r="Y4" s="40"/>
      <c r="Z4" s="14" t="s">
        <v>0</v>
      </c>
      <c r="AA4" s="15">
        <f>$C$2</f>
        <v>192</v>
      </c>
      <c r="AB4" s="22">
        <v>168</v>
      </c>
      <c r="AC4" s="23">
        <v>70</v>
      </c>
      <c r="AD4" s="24">
        <v>0</v>
      </c>
      <c r="AE4" s="48">
        <f t="shared" ref="AE4:AE7" si="4">IF(AB4="","",IF(AC4="","",IF(AD4="","",SUM(AS4:AU4))))</f>
        <v>3</v>
      </c>
      <c r="AH4" s="10" t="s">
        <v>20</v>
      </c>
      <c r="AI4" s="26">
        <v>1</v>
      </c>
      <c r="AJ4" s="47">
        <f t="shared" si="2"/>
        <v>1</v>
      </c>
      <c r="AK4" s="11" t="s">
        <v>9</v>
      </c>
      <c r="AL4" s="12">
        <f>AA2</f>
        <v>192</v>
      </c>
      <c r="AM4" s="12">
        <f>IF(AM3=0,0,IF(AM3=255,AB2,AR5*(INT(AB2/AR5))))</f>
        <v>168</v>
      </c>
      <c r="AN4" s="12">
        <f>IF(AN3=0,0,IF(AN3=255,AC2,AR5*(INT(AC2/AR5))))</f>
        <v>70</v>
      </c>
      <c r="AO4" s="12">
        <f>IF(AO3=0,0,AR5*(INT(AD2/AR5)))</f>
        <v>0</v>
      </c>
      <c r="AP4" s="12"/>
      <c r="AQ4" s="11" t="s">
        <v>7</v>
      </c>
      <c r="AR4" s="12">
        <f>AF2-AR3</f>
        <v>1</v>
      </c>
      <c r="AS4" s="13">
        <f t="shared" ref="AS4:AS7" si="5">IF(AB4="","",IF(AB4=AM4,1,0))</f>
        <v>1</v>
      </c>
      <c r="AT4" s="13">
        <f t="shared" ref="AT4:AT7" si="6">IF(AC4="","",IF(AC4=AN4,1,0))</f>
        <v>1</v>
      </c>
      <c r="AU4" s="13">
        <f>IF(AD4="","",IF(AD4=AO4,1,0))</f>
        <v>1</v>
      </c>
      <c r="AV4" s="13">
        <f t="shared" ref="AV4:AV7" si="7">IF(AI4="","",IF(AI4=AR4,1,0))</f>
        <v>1</v>
      </c>
    </row>
    <row r="5" spans="1:48" x14ac:dyDescent="0.35">
      <c r="A5" s="40"/>
      <c r="B5" s="14" t="s">
        <v>5</v>
      </c>
      <c r="C5" s="15">
        <f t="shared" ref="C5:C7" si="8">$C$2</f>
        <v>192</v>
      </c>
      <c r="D5" s="22">
        <v>168</v>
      </c>
      <c r="E5" s="23">
        <v>10</v>
      </c>
      <c r="F5" s="24">
        <v>129</v>
      </c>
      <c r="G5" s="48">
        <f t="shared" ref="G5:G7" si="9">IF(D5="","",IF(E5="","",IF(F5="","",SUM(U5:W5))))</f>
        <v>3</v>
      </c>
      <c r="J5" s="10" t="s">
        <v>21</v>
      </c>
      <c r="K5" s="21">
        <v>128</v>
      </c>
      <c r="L5" s="47">
        <f t="shared" si="0"/>
        <v>1</v>
      </c>
      <c r="M5" s="11" t="s">
        <v>11</v>
      </c>
      <c r="N5" s="12">
        <f>C2</f>
        <v>192</v>
      </c>
      <c r="O5" s="12">
        <f>O4</f>
        <v>168</v>
      </c>
      <c r="P5" s="12">
        <f>P4</f>
        <v>10</v>
      </c>
      <c r="Q5" s="12">
        <f>Q4+1</f>
        <v>129</v>
      </c>
      <c r="R5" s="12"/>
      <c r="S5" s="11" t="s">
        <v>16</v>
      </c>
      <c r="T5" s="12">
        <f>256/2^IF(T4&lt;8,T4,IF(T4&lt;16,T4-8,IF(T4&lt;24,T4-16,T4-24)))</f>
        <v>128</v>
      </c>
      <c r="U5" s="13">
        <f t="shared" si="1"/>
        <v>1</v>
      </c>
      <c r="V5" s="13">
        <f t="shared" si="1"/>
        <v>1</v>
      </c>
      <c r="W5" s="13">
        <f t="shared" si="1"/>
        <v>1</v>
      </c>
      <c r="X5" s="42">
        <f t="shared" si="3"/>
        <v>1</v>
      </c>
      <c r="Y5" s="40"/>
      <c r="Z5" s="14" t="s">
        <v>5</v>
      </c>
      <c r="AA5" s="15">
        <f t="shared" ref="AA5:AA7" si="10">$C$2</f>
        <v>192</v>
      </c>
      <c r="AB5" s="22">
        <v>168</v>
      </c>
      <c r="AC5" s="23">
        <v>70</v>
      </c>
      <c r="AD5" s="24">
        <v>1</v>
      </c>
      <c r="AE5" s="48">
        <f t="shared" si="4"/>
        <v>3</v>
      </c>
      <c r="AH5" s="10" t="s">
        <v>21</v>
      </c>
      <c r="AI5" s="26">
        <v>128</v>
      </c>
      <c r="AJ5" s="47">
        <f t="shared" si="2"/>
        <v>1</v>
      </c>
      <c r="AK5" s="11" t="s">
        <v>11</v>
      </c>
      <c r="AL5" s="12">
        <f>AA2</f>
        <v>192</v>
      </c>
      <c r="AM5" s="12">
        <f>AM4</f>
        <v>168</v>
      </c>
      <c r="AN5" s="12">
        <f>AN4</f>
        <v>70</v>
      </c>
      <c r="AO5" s="12">
        <f>AO4+1</f>
        <v>1</v>
      </c>
      <c r="AP5" s="12"/>
      <c r="AQ5" s="11" t="s">
        <v>16</v>
      </c>
      <c r="AR5" s="12">
        <f>256/2^IF(AR4&lt;8,AR4,IF(AR4&lt;16,AR4-8,IF(AR4&lt;24,AR4-16,AR4-24)))</f>
        <v>128</v>
      </c>
      <c r="AS5" s="13">
        <f t="shared" si="5"/>
        <v>1</v>
      </c>
      <c r="AT5" s="13">
        <f t="shared" si="6"/>
        <v>1</v>
      </c>
      <c r="AU5" s="13">
        <f>IF(AD5="","",IF(AD5=AO5,1,0))</f>
        <v>1</v>
      </c>
      <c r="AV5" s="13">
        <f t="shared" si="7"/>
        <v>1</v>
      </c>
    </row>
    <row r="6" spans="1:48" x14ac:dyDescent="0.35">
      <c r="A6" s="40"/>
      <c r="B6" s="14" t="s">
        <v>6</v>
      </c>
      <c r="C6" s="15">
        <f t="shared" si="8"/>
        <v>192</v>
      </c>
      <c r="D6" s="22">
        <v>168</v>
      </c>
      <c r="E6" s="23">
        <v>10</v>
      </c>
      <c r="F6" s="24">
        <v>254</v>
      </c>
      <c r="G6" s="48">
        <f t="shared" si="9"/>
        <v>3</v>
      </c>
      <c r="J6" s="10" t="s">
        <v>22</v>
      </c>
      <c r="K6" s="21">
        <v>2</v>
      </c>
      <c r="L6" s="47">
        <f t="shared" si="0"/>
        <v>1</v>
      </c>
      <c r="M6" s="11" t="s">
        <v>12</v>
      </c>
      <c r="N6" s="12">
        <f>C2</f>
        <v>192</v>
      </c>
      <c r="O6" s="12">
        <f>O7</f>
        <v>168</v>
      </c>
      <c r="P6" s="12">
        <f>P7</f>
        <v>10</v>
      </c>
      <c r="Q6" s="12">
        <f>Q7-1</f>
        <v>254</v>
      </c>
      <c r="R6" s="12"/>
      <c r="S6" s="11" t="s">
        <v>15</v>
      </c>
      <c r="T6" s="16">
        <f>2^T4</f>
        <v>2</v>
      </c>
      <c r="U6" s="13">
        <f t="shared" si="1"/>
        <v>1</v>
      </c>
      <c r="V6" s="13">
        <f t="shared" si="1"/>
        <v>1</v>
      </c>
      <c r="W6" s="13">
        <f t="shared" si="1"/>
        <v>1</v>
      </c>
      <c r="X6" s="42">
        <f t="shared" si="3"/>
        <v>1</v>
      </c>
      <c r="Y6" s="40"/>
      <c r="Z6" s="14" t="s">
        <v>6</v>
      </c>
      <c r="AA6" s="15">
        <f t="shared" si="10"/>
        <v>192</v>
      </c>
      <c r="AB6" s="22">
        <v>168</v>
      </c>
      <c r="AC6" s="23">
        <v>70</v>
      </c>
      <c r="AD6" s="24">
        <v>126</v>
      </c>
      <c r="AE6" s="48">
        <f t="shared" si="4"/>
        <v>3</v>
      </c>
      <c r="AH6" s="10" t="s">
        <v>22</v>
      </c>
      <c r="AI6" s="26">
        <v>2</v>
      </c>
      <c r="AJ6" s="47">
        <f t="shared" si="2"/>
        <v>1</v>
      </c>
      <c r="AK6" s="11" t="s">
        <v>12</v>
      </c>
      <c r="AL6" s="12">
        <f>AA2</f>
        <v>192</v>
      </c>
      <c r="AM6" s="12">
        <f>AM7</f>
        <v>168</v>
      </c>
      <c r="AN6" s="12">
        <f>AN7</f>
        <v>70</v>
      </c>
      <c r="AO6" s="12">
        <f>AO7-1</f>
        <v>126</v>
      </c>
      <c r="AP6" s="12"/>
      <c r="AQ6" s="11" t="s">
        <v>15</v>
      </c>
      <c r="AR6" s="16">
        <f>2^AR4</f>
        <v>2</v>
      </c>
      <c r="AS6" s="13">
        <f t="shared" si="5"/>
        <v>1</v>
      </c>
      <c r="AT6" s="13">
        <f t="shared" si="6"/>
        <v>1</v>
      </c>
      <c r="AU6" s="13">
        <f>IF(AD6="","",IF(AD6=AO6,1,0))</f>
        <v>1</v>
      </c>
      <c r="AV6" s="13">
        <f t="shared" si="7"/>
        <v>1</v>
      </c>
    </row>
    <row r="7" spans="1:48" x14ac:dyDescent="0.35">
      <c r="A7" s="40"/>
      <c r="B7" s="14" t="s">
        <v>1</v>
      </c>
      <c r="C7" s="15">
        <f t="shared" si="8"/>
        <v>192</v>
      </c>
      <c r="D7" s="22">
        <v>168</v>
      </c>
      <c r="E7" s="23">
        <v>10</v>
      </c>
      <c r="F7" s="24">
        <v>255</v>
      </c>
      <c r="G7" s="48">
        <f t="shared" si="9"/>
        <v>3</v>
      </c>
      <c r="J7" s="10" t="s">
        <v>23</v>
      </c>
      <c r="K7" s="21">
        <v>126</v>
      </c>
      <c r="L7" s="47">
        <f t="shared" si="0"/>
        <v>1</v>
      </c>
      <c r="M7" s="11" t="s">
        <v>10</v>
      </c>
      <c r="N7" s="12">
        <f>C2</f>
        <v>192</v>
      </c>
      <c r="O7" s="12">
        <f>IF(O3=255,D2,O4+T5-1)</f>
        <v>168</v>
      </c>
      <c r="P7" s="12">
        <f>IF(P3=0,255,IF(P3=255,E2,P4+T5-1))</f>
        <v>10</v>
      </c>
      <c r="Q7" s="12">
        <f>IF(Q3=0,255,Q4+T5-1)</f>
        <v>255</v>
      </c>
      <c r="R7" s="12"/>
      <c r="S7" s="11" t="s">
        <v>17</v>
      </c>
      <c r="T7" s="12">
        <f>(2^(32-T3-T4))-2</f>
        <v>126</v>
      </c>
      <c r="U7" s="13">
        <f t="shared" si="1"/>
        <v>1</v>
      </c>
      <c r="V7" s="13">
        <f t="shared" si="1"/>
        <v>1</v>
      </c>
      <c r="W7" s="13">
        <f t="shared" si="1"/>
        <v>1</v>
      </c>
      <c r="X7" s="42">
        <f t="shared" si="3"/>
        <v>1</v>
      </c>
      <c r="Y7" s="40"/>
      <c r="Z7" s="14" t="s">
        <v>1</v>
      </c>
      <c r="AA7" s="15">
        <f t="shared" si="10"/>
        <v>192</v>
      </c>
      <c r="AB7" s="22">
        <v>168</v>
      </c>
      <c r="AC7" s="23">
        <v>70</v>
      </c>
      <c r="AD7" s="24">
        <v>127</v>
      </c>
      <c r="AE7" s="48">
        <f t="shared" si="4"/>
        <v>3</v>
      </c>
      <c r="AH7" s="10" t="s">
        <v>23</v>
      </c>
      <c r="AI7" s="26">
        <v>126</v>
      </c>
      <c r="AJ7" s="47">
        <f t="shared" si="2"/>
        <v>1</v>
      </c>
      <c r="AK7" s="11" t="s">
        <v>10</v>
      </c>
      <c r="AL7" s="12">
        <f>AA2</f>
        <v>192</v>
      </c>
      <c r="AM7" s="12">
        <f>IF(AM3=255,AB2,AM4+AR5-1)</f>
        <v>168</v>
      </c>
      <c r="AN7" s="12">
        <f>IF(AN3=0,255,IF(AN3=255,AC2,AN4+AR5-1))</f>
        <v>70</v>
      </c>
      <c r="AO7" s="12">
        <f>IF(AO3=0,255,AO4+AR5-1)</f>
        <v>127</v>
      </c>
      <c r="AP7" s="12"/>
      <c r="AQ7" s="11" t="s">
        <v>17</v>
      </c>
      <c r="AR7" s="12">
        <f>(2^(32-AR3-AR4))-2</f>
        <v>126</v>
      </c>
      <c r="AS7" s="13">
        <f t="shared" si="5"/>
        <v>1</v>
      </c>
      <c r="AT7" s="13">
        <f t="shared" si="6"/>
        <v>1</v>
      </c>
      <c r="AU7" s="13">
        <f>IF(AD7="","",IF(AD7=AO7,1,0))</f>
        <v>1</v>
      </c>
      <c r="AV7" s="13">
        <f t="shared" si="7"/>
        <v>1</v>
      </c>
    </row>
    <row r="8" spans="1:48" x14ac:dyDescent="0.35">
      <c r="A8" s="40"/>
      <c r="B8" s="14"/>
      <c r="C8" s="17"/>
      <c r="D8" s="17"/>
      <c r="E8" s="18"/>
      <c r="J8" s="10"/>
      <c r="L8" s="37"/>
      <c r="M8" s="11"/>
      <c r="N8" s="12"/>
      <c r="O8" s="12"/>
      <c r="P8" s="12"/>
      <c r="Q8" s="12"/>
      <c r="R8" s="12"/>
      <c r="S8" s="11"/>
      <c r="T8" s="12"/>
      <c r="U8" s="12"/>
      <c r="V8" s="12"/>
      <c r="W8" s="12"/>
      <c r="X8" s="12"/>
      <c r="Y8" s="40"/>
      <c r="Z8" s="14"/>
      <c r="AA8" s="17"/>
      <c r="AB8" s="17"/>
      <c r="AC8" s="18"/>
      <c r="AD8" s="19"/>
      <c r="AH8" s="10"/>
      <c r="AJ8" s="37"/>
      <c r="AK8" s="45"/>
      <c r="AL8" s="46"/>
      <c r="AM8" s="46"/>
      <c r="AN8" s="46"/>
      <c r="AO8" s="46"/>
      <c r="AP8" s="46"/>
      <c r="AQ8" s="45"/>
      <c r="AR8" s="46"/>
      <c r="AS8" s="46"/>
      <c r="AT8" s="46"/>
      <c r="AU8" s="46"/>
      <c r="AV8" s="46"/>
    </row>
    <row r="9" spans="1:48" x14ac:dyDescent="0.35">
      <c r="A9" s="39">
        <v>2</v>
      </c>
      <c r="B9" s="27"/>
      <c r="C9" s="34"/>
      <c r="D9" s="34"/>
      <c r="E9" s="35"/>
      <c r="F9" s="36"/>
      <c r="G9" s="27"/>
      <c r="H9" s="27"/>
      <c r="I9" s="27"/>
      <c r="J9" s="27"/>
      <c r="K9" s="50"/>
      <c r="L9" s="51">
        <f>IF(W10&lt;3,"",(SUM(G11:G15)+SUM(L10:L15))/21)</f>
        <v>1</v>
      </c>
      <c r="M9" s="27"/>
      <c r="N9" s="27"/>
      <c r="O9" s="27"/>
      <c r="P9" s="27"/>
      <c r="Q9" s="27"/>
      <c r="R9" s="27"/>
      <c r="S9" s="27"/>
      <c r="T9" s="27"/>
      <c r="U9" s="44"/>
      <c r="V9" s="44"/>
      <c r="W9" s="27"/>
      <c r="X9" s="27"/>
      <c r="Y9" s="39">
        <v>8</v>
      </c>
      <c r="Z9" s="27"/>
      <c r="AA9" s="34"/>
      <c r="AB9" s="34"/>
      <c r="AC9" s="35"/>
      <c r="AD9" s="36"/>
      <c r="AE9" s="27"/>
      <c r="AF9" s="27"/>
      <c r="AG9" s="27"/>
      <c r="AH9" s="27"/>
      <c r="AI9" s="50"/>
      <c r="AJ9" s="51">
        <f>IF(AU10&lt;3,"",(SUM(AE11:AE15)+SUM(AJ10:AJ15))/21)</f>
        <v>1</v>
      </c>
      <c r="AS9" s="12"/>
      <c r="AT9" s="12"/>
    </row>
    <row r="10" spans="1:48" s="2" customFormat="1" x14ac:dyDescent="0.35">
      <c r="A10" s="40"/>
      <c r="B10" s="2" t="s">
        <v>2</v>
      </c>
      <c r="C10" s="3">
        <v>192</v>
      </c>
      <c r="D10" s="4">
        <v>168</v>
      </c>
      <c r="E10" s="5">
        <v>20</v>
      </c>
      <c r="F10" s="3">
        <v>175</v>
      </c>
      <c r="G10" s="6" t="s">
        <v>4</v>
      </c>
      <c r="H10" s="1">
        <v>26</v>
      </c>
      <c r="I10" s="1"/>
      <c r="J10" t="s">
        <v>24</v>
      </c>
      <c r="K10" s="25" t="s">
        <v>26</v>
      </c>
      <c r="L10" s="47">
        <f>IF(K10="","",IF(K10=T10,1,0))</f>
        <v>1</v>
      </c>
      <c r="S10" s="7" t="s">
        <v>13</v>
      </c>
      <c r="T10" s="8" t="str">
        <f>IF(C10&lt;128,"A",IF(C10&lt;192,"B","C"))</f>
        <v>C</v>
      </c>
      <c r="U10" s="53" t="s">
        <v>18</v>
      </c>
      <c r="V10" s="54"/>
      <c r="W10" s="53">
        <f>SUM(U11:X15)</f>
        <v>20</v>
      </c>
      <c r="X10" s="55"/>
      <c r="Y10" s="40"/>
      <c r="Z10" s="2" t="s">
        <v>2</v>
      </c>
      <c r="AA10" s="3">
        <v>192</v>
      </c>
      <c r="AB10" s="4">
        <v>168</v>
      </c>
      <c r="AC10" s="5">
        <v>80</v>
      </c>
      <c r="AD10" s="3">
        <v>111</v>
      </c>
      <c r="AE10" s="6" t="s">
        <v>4</v>
      </c>
      <c r="AF10" s="1">
        <v>26</v>
      </c>
      <c r="AG10" s="1"/>
      <c r="AH10" t="s">
        <v>24</v>
      </c>
      <c r="AI10" s="25" t="s">
        <v>26</v>
      </c>
      <c r="AJ10" s="47">
        <f>IF(AI10="","",IF(AI10=AR10,1,0))</f>
        <v>1</v>
      </c>
      <c r="AQ10" s="7" t="s">
        <v>13</v>
      </c>
      <c r="AR10" s="8" t="str">
        <f>IF(AA10&lt;128,"A",IF(AA10&lt;192,"B","C"))</f>
        <v>C</v>
      </c>
      <c r="AS10" s="53" t="s">
        <v>18</v>
      </c>
      <c r="AT10" s="54"/>
      <c r="AU10" s="53">
        <f>SUM(AS11:AV15)</f>
        <v>20</v>
      </c>
      <c r="AV10" s="54"/>
    </row>
    <row r="11" spans="1:48" x14ac:dyDescent="0.35">
      <c r="A11" s="40"/>
      <c r="B11" t="s">
        <v>3</v>
      </c>
      <c r="C11" s="9">
        <v>255</v>
      </c>
      <c r="D11" s="21">
        <v>255</v>
      </c>
      <c r="E11" s="21">
        <v>255</v>
      </c>
      <c r="F11" s="21">
        <v>192</v>
      </c>
      <c r="G11" s="48">
        <f>IF(D11="","",IF(E11="","",IF(F11="","",SUM(U11:W11))))</f>
        <v>3</v>
      </c>
      <c r="J11" s="10" t="s">
        <v>19</v>
      </c>
      <c r="K11" s="26">
        <v>24</v>
      </c>
      <c r="L11" s="47">
        <f t="shared" ref="L11:L15" si="11">IF(K11="","",IF(K11=T11,1,0))</f>
        <v>1</v>
      </c>
      <c r="M11" s="11" t="s">
        <v>8</v>
      </c>
      <c r="N11" s="12">
        <v>255</v>
      </c>
      <c r="O11" s="12">
        <f>IF(H10=8,0,IF(H10&gt;=16,255,256-T13))</f>
        <v>255</v>
      </c>
      <c r="P11" s="12">
        <f>IF(H10&lt;16,0,IF(H10&gt;=24,255,256-T13))</f>
        <v>255</v>
      </c>
      <c r="Q11" s="12">
        <f>IF(H10&gt;24,256-T13,0)</f>
        <v>192</v>
      </c>
      <c r="R11" s="12"/>
      <c r="S11" s="11" t="s">
        <v>14</v>
      </c>
      <c r="T11" s="12">
        <f>IF(T10="A",8,IF(T10="B",16,24))</f>
        <v>24</v>
      </c>
      <c r="U11" s="13">
        <f>IF(D11="","",IF(D11=O11,1,0))</f>
        <v>1</v>
      </c>
      <c r="V11" s="13">
        <f>IF(E11="","",IF(E11=P11,1,0))</f>
        <v>1</v>
      </c>
      <c r="W11" s="13">
        <f>IF(F11="","",IF(F11=Q11,1,0))</f>
        <v>1</v>
      </c>
      <c r="X11" s="42">
        <f>IF(K11="","",IF(K11=T11,1,0))</f>
        <v>1</v>
      </c>
      <c r="Y11" s="40"/>
      <c r="Z11" t="s">
        <v>3</v>
      </c>
      <c r="AA11" s="9">
        <v>255</v>
      </c>
      <c r="AB11" s="21">
        <v>255</v>
      </c>
      <c r="AC11" s="21">
        <v>255</v>
      </c>
      <c r="AD11" s="21">
        <v>192</v>
      </c>
      <c r="AE11" s="48">
        <f>IF(AB11="","",IF(AC11="","",IF(AD11="","",SUM(AS11:AU11))))</f>
        <v>3</v>
      </c>
      <c r="AH11" s="10" t="s">
        <v>19</v>
      </c>
      <c r="AI11" s="26">
        <v>24</v>
      </c>
      <c r="AJ11" s="47">
        <f t="shared" ref="AJ11:AJ15" si="12">IF(AI11="","",IF(AI11=AR11,1,0))</f>
        <v>1</v>
      </c>
      <c r="AK11" s="11" t="s">
        <v>8</v>
      </c>
      <c r="AL11" s="12">
        <v>255</v>
      </c>
      <c r="AM11" s="12">
        <f>IF(AF10=8,0,IF(AF10&gt;=16,255,256-AR13))</f>
        <v>255</v>
      </c>
      <c r="AN11" s="12">
        <f>IF(AF10&lt;16,0,IF(AF10&gt;=24,255,256-AR13))</f>
        <v>255</v>
      </c>
      <c r="AO11" s="12">
        <f>IF(AF10&gt;24,256-AR13,0)</f>
        <v>192</v>
      </c>
      <c r="AP11" s="12"/>
      <c r="AQ11" s="11" t="s">
        <v>14</v>
      </c>
      <c r="AR11" s="12">
        <f>IF(AR10="A",8,IF(AR10="B",16,24))</f>
        <v>24</v>
      </c>
      <c r="AS11" s="13">
        <f>IF(AB11="","",IF(AB11=AM11,1,0))</f>
        <v>1</v>
      </c>
      <c r="AT11" s="13">
        <f>IF(AC11="","",IF(AC11=AN11,1,0))</f>
        <v>1</v>
      </c>
      <c r="AU11" s="13">
        <f>IF(AD11="","",IF(AD11=AO11,1,0))</f>
        <v>1</v>
      </c>
      <c r="AV11" s="13">
        <f>IF(AI11="","",IF(AI11=AR11,1,0))</f>
        <v>1</v>
      </c>
    </row>
    <row r="12" spans="1:48" x14ac:dyDescent="0.35">
      <c r="A12" s="40"/>
      <c r="B12" s="14" t="s">
        <v>0</v>
      </c>
      <c r="C12" s="15">
        <f>$C$2</f>
        <v>192</v>
      </c>
      <c r="D12" s="22">
        <v>168</v>
      </c>
      <c r="E12" s="23">
        <v>20</v>
      </c>
      <c r="F12" s="24">
        <v>128</v>
      </c>
      <c r="G12" s="48">
        <f t="shared" ref="G12:G15" si="13">IF(D12="","",IF(E12="","",IF(F12="","",SUM(U12:W12))))</f>
        <v>3</v>
      </c>
      <c r="J12" s="10" t="s">
        <v>20</v>
      </c>
      <c r="K12" s="26">
        <v>2</v>
      </c>
      <c r="L12" s="47">
        <f t="shared" si="11"/>
        <v>1</v>
      </c>
      <c r="M12" s="11" t="s">
        <v>9</v>
      </c>
      <c r="N12" s="12">
        <f>C10</f>
        <v>192</v>
      </c>
      <c r="O12" s="12">
        <f>IF(O11=0,0,IF(O11=255,D10,T13*(INT(D10/T13))))</f>
        <v>168</v>
      </c>
      <c r="P12" s="12">
        <f>IF(P11=0,0,IF(P11=255,E10,T13*(INT(E10/T13))))</f>
        <v>20</v>
      </c>
      <c r="Q12" s="12">
        <f>IF(Q11=0,0,T13*(INT(F10/T13)))</f>
        <v>128</v>
      </c>
      <c r="R12" s="12"/>
      <c r="S12" s="11" t="s">
        <v>7</v>
      </c>
      <c r="T12" s="12">
        <f>H10-T11</f>
        <v>2</v>
      </c>
      <c r="U12" s="13">
        <f t="shared" ref="U12:U15" si="14">IF(D12="","",IF(D12=O12,1,0))</f>
        <v>1</v>
      </c>
      <c r="V12" s="13">
        <f t="shared" ref="V12:V15" si="15">IF(E12="","",IF(E12=P12,1,0))</f>
        <v>1</v>
      </c>
      <c r="W12" s="13">
        <f>IF(F12="","",IF(F12=Q12,1,0))</f>
        <v>1</v>
      </c>
      <c r="X12" s="42">
        <f t="shared" ref="X12:X15" si="16">IF(K12="","",IF(K12=T12,1,0))</f>
        <v>1</v>
      </c>
      <c r="Y12" s="40"/>
      <c r="Z12" s="14" t="s">
        <v>0</v>
      </c>
      <c r="AA12" s="15">
        <f>$C$2</f>
        <v>192</v>
      </c>
      <c r="AB12" s="22">
        <v>168</v>
      </c>
      <c r="AC12" s="23">
        <v>80</v>
      </c>
      <c r="AD12" s="24">
        <v>64</v>
      </c>
      <c r="AE12" s="48">
        <f t="shared" ref="AE12:AE15" si="17">IF(AB12="","",IF(AC12="","",IF(AD12="","",SUM(AS12:AU12))))</f>
        <v>3</v>
      </c>
      <c r="AH12" s="10" t="s">
        <v>20</v>
      </c>
      <c r="AI12" s="26">
        <v>2</v>
      </c>
      <c r="AJ12" s="47">
        <f t="shared" si="12"/>
        <v>1</v>
      </c>
      <c r="AK12" s="11" t="s">
        <v>9</v>
      </c>
      <c r="AL12" s="12">
        <f>AA10</f>
        <v>192</v>
      </c>
      <c r="AM12" s="12">
        <f>IF(AM11=0,0,IF(AM11=255,AB10,AR13*(INT(AB10/AR13))))</f>
        <v>168</v>
      </c>
      <c r="AN12" s="12">
        <f>IF(AN11=0,0,IF(AN11=255,AC10,AR13*(INT(AC10/AR13))))</f>
        <v>80</v>
      </c>
      <c r="AO12" s="12">
        <f>IF(AO11=0,0,AR13*(INT(AD10/AR13)))</f>
        <v>64</v>
      </c>
      <c r="AP12" s="12"/>
      <c r="AQ12" s="11" t="s">
        <v>7</v>
      </c>
      <c r="AR12" s="12">
        <f>AF10-AR11</f>
        <v>2</v>
      </c>
      <c r="AS12" s="13">
        <f t="shared" ref="AS12:AS15" si="18">IF(AB12="","",IF(AB12=AM12,1,0))</f>
        <v>1</v>
      </c>
      <c r="AT12" s="13">
        <f t="shared" ref="AT12:AT15" si="19">IF(AC12="","",IF(AC12=AN12,1,0))</f>
        <v>1</v>
      </c>
      <c r="AU12" s="13">
        <f>IF(AD12="","",IF(AD12=AO12,1,0))</f>
        <v>1</v>
      </c>
      <c r="AV12" s="13">
        <f t="shared" ref="AV12:AV15" si="20">IF(AI12="","",IF(AI12=AR12,1,0))</f>
        <v>1</v>
      </c>
    </row>
    <row r="13" spans="1:48" x14ac:dyDescent="0.35">
      <c r="A13" s="40"/>
      <c r="B13" s="14" t="s">
        <v>5</v>
      </c>
      <c r="C13" s="15">
        <f t="shared" ref="C13:C15" si="21">$C$2</f>
        <v>192</v>
      </c>
      <c r="D13" s="22">
        <v>168</v>
      </c>
      <c r="E13" s="23">
        <v>20</v>
      </c>
      <c r="F13" s="24">
        <v>129</v>
      </c>
      <c r="G13" s="48">
        <f t="shared" si="13"/>
        <v>3</v>
      </c>
      <c r="J13" s="10" t="s">
        <v>21</v>
      </c>
      <c r="K13" s="26">
        <v>64</v>
      </c>
      <c r="L13" s="47">
        <f t="shared" si="11"/>
        <v>1</v>
      </c>
      <c r="M13" s="11" t="s">
        <v>11</v>
      </c>
      <c r="N13" s="12">
        <f>C10</f>
        <v>192</v>
      </c>
      <c r="O13" s="12">
        <f>O12</f>
        <v>168</v>
      </c>
      <c r="P13" s="12">
        <f>P12</f>
        <v>20</v>
      </c>
      <c r="Q13" s="12">
        <f>Q12+1</f>
        <v>129</v>
      </c>
      <c r="R13" s="12"/>
      <c r="S13" s="11" t="s">
        <v>16</v>
      </c>
      <c r="T13" s="12">
        <f>256/2^IF(T12&lt;8,T12,IF(T12&lt;16,T12-8,IF(T12&lt;24,T12-16,T12-24)))</f>
        <v>64</v>
      </c>
      <c r="U13" s="13">
        <f t="shared" si="14"/>
        <v>1</v>
      </c>
      <c r="V13" s="13">
        <f t="shared" si="15"/>
        <v>1</v>
      </c>
      <c r="W13" s="13">
        <f>IF(F13="","",IF(F13=Q13,1,0))</f>
        <v>1</v>
      </c>
      <c r="X13" s="42">
        <f t="shared" si="16"/>
        <v>1</v>
      </c>
      <c r="Y13" s="40"/>
      <c r="Z13" s="14" t="s">
        <v>5</v>
      </c>
      <c r="AA13" s="15">
        <f t="shared" ref="AA13:AA15" si="22">$C$2</f>
        <v>192</v>
      </c>
      <c r="AB13" s="22">
        <v>168</v>
      </c>
      <c r="AC13" s="23">
        <v>80</v>
      </c>
      <c r="AD13" s="24">
        <v>65</v>
      </c>
      <c r="AE13" s="48">
        <f t="shared" si="17"/>
        <v>3</v>
      </c>
      <c r="AH13" s="10" t="s">
        <v>21</v>
      </c>
      <c r="AI13" s="26">
        <v>64</v>
      </c>
      <c r="AJ13" s="47">
        <f t="shared" si="12"/>
        <v>1</v>
      </c>
      <c r="AK13" s="11" t="s">
        <v>11</v>
      </c>
      <c r="AL13" s="12">
        <f>AA10</f>
        <v>192</v>
      </c>
      <c r="AM13" s="12">
        <f>AM12</f>
        <v>168</v>
      </c>
      <c r="AN13" s="12">
        <f>AN12</f>
        <v>80</v>
      </c>
      <c r="AO13" s="12">
        <f>AO12+1</f>
        <v>65</v>
      </c>
      <c r="AP13" s="12"/>
      <c r="AQ13" s="11" t="s">
        <v>16</v>
      </c>
      <c r="AR13" s="12">
        <f>256/2^IF(AR12&lt;8,AR12,IF(AR12&lt;16,AR12-8,IF(AR12&lt;24,AR12-16,AR12-24)))</f>
        <v>64</v>
      </c>
      <c r="AS13" s="13">
        <f t="shared" si="18"/>
        <v>1</v>
      </c>
      <c r="AT13" s="13">
        <f t="shared" si="19"/>
        <v>1</v>
      </c>
      <c r="AU13" s="13">
        <f>IF(AD13="","",IF(AD13=AO13,1,0))</f>
        <v>1</v>
      </c>
      <c r="AV13" s="13">
        <f t="shared" si="20"/>
        <v>1</v>
      </c>
    </row>
    <row r="14" spans="1:48" x14ac:dyDescent="0.35">
      <c r="A14" s="40"/>
      <c r="B14" s="14" t="s">
        <v>6</v>
      </c>
      <c r="C14" s="15">
        <f t="shared" si="21"/>
        <v>192</v>
      </c>
      <c r="D14" s="22">
        <v>168</v>
      </c>
      <c r="E14" s="23">
        <v>20</v>
      </c>
      <c r="F14" s="24">
        <v>190</v>
      </c>
      <c r="G14" s="48">
        <f t="shared" si="13"/>
        <v>3</v>
      </c>
      <c r="J14" s="10" t="s">
        <v>22</v>
      </c>
      <c r="K14" s="26">
        <v>4</v>
      </c>
      <c r="L14" s="47">
        <f t="shared" si="11"/>
        <v>1</v>
      </c>
      <c r="M14" s="11" t="s">
        <v>12</v>
      </c>
      <c r="N14" s="12">
        <f>C10</f>
        <v>192</v>
      </c>
      <c r="O14" s="12">
        <f>O15</f>
        <v>168</v>
      </c>
      <c r="P14" s="12">
        <f>P15</f>
        <v>20</v>
      </c>
      <c r="Q14" s="12">
        <f>Q15-1</f>
        <v>190</v>
      </c>
      <c r="R14" s="12"/>
      <c r="S14" s="11" t="s">
        <v>15</v>
      </c>
      <c r="T14" s="16">
        <f>2^T12</f>
        <v>4</v>
      </c>
      <c r="U14" s="13">
        <f t="shared" si="14"/>
        <v>1</v>
      </c>
      <c r="V14" s="13">
        <f t="shared" si="15"/>
        <v>1</v>
      </c>
      <c r="W14" s="13">
        <f>IF(F14="","",IF(F14=Q14,1,0))</f>
        <v>1</v>
      </c>
      <c r="X14" s="42">
        <f t="shared" si="16"/>
        <v>1</v>
      </c>
      <c r="Y14" s="40"/>
      <c r="Z14" s="14" t="s">
        <v>6</v>
      </c>
      <c r="AA14" s="15">
        <f t="shared" si="22"/>
        <v>192</v>
      </c>
      <c r="AB14" s="22">
        <v>168</v>
      </c>
      <c r="AC14" s="23">
        <v>80</v>
      </c>
      <c r="AD14" s="24">
        <v>126</v>
      </c>
      <c r="AE14" s="48">
        <f t="shared" si="17"/>
        <v>3</v>
      </c>
      <c r="AH14" s="10" t="s">
        <v>22</v>
      </c>
      <c r="AI14" s="26">
        <v>4</v>
      </c>
      <c r="AJ14" s="47">
        <f t="shared" si="12"/>
        <v>1</v>
      </c>
      <c r="AK14" s="11" t="s">
        <v>12</v>
      </c>
      <c r="AL14" s="12">
        <f>AA10</f>
        <v>192</v>
      </c>
      <c r="AM14" s="12">
        <f>AM15</f>
        <v>168</v>
      </c>
      <c r="AN14" s="12">
        <f>AN15</f>
        <v>80</v>
      </c>
      <c r="AO14" s="12">
        <f>AO15-1</f>
        <v>126</v>
      </c>
      <c r="AP14" s="12"/>
      <c r="AQ14" s="11" t="s">
        <v>15</v>
      </c>
      <c r="AR14" s="16">
        <f>2^AR12</f>
        <v>4</v>
      </c>
      <c r="AS14" s="13">
        <f t="shared" si="18"/>
        <v>1</v>
      </c>
      <c r="AT14" s="13">
        <f t="shared" si="19"/>
        <v>1</v>
      </c>
      <c r="AU14" s="13">
        <f>IF(AD14="","",IF(AD14=AO14,1,0))</f>
        <v>1</v>
      </c>
      <c r="AV14" s="13">
        <f t="shared" si="20"/>
        <v>1</v>
      </c>
    </row>
    <row r="15" spans="1:48" x14ac:dyDescent="0.35">
      <c r="A15" s="40"/>
      <c r="B15" s="14" t="s">
        <v>1</v>
      </c>
      <c r="C15" s="15">
        <f t="shared" si="21"/>
        <v>192</v>
      </c>
      <c r="D15" s="22">
        <v>168</v>
      </c>
      <c r="E15" s="23">
        <v>20</v>
      </c>
      <c r="F15" s="24">
        <v>191</v>
      </c>
      <c r="G15" s="48">
        <f t="shared" si="13"/>
        <v>3</v>
      </c>
      <c r="J15" s="10" t="s">
        <v>23</v>
      </c>
      <c r="K15" s="26">
        <v>62</v>
      </c>
      <c r="L15" s="47">
        <f t="shared" si="11"/>
        <v>1</v>
      </c>
      <c r="M15" s="11" t="s">
        <v>10</v>
      </c>
      <c r="N15" s="12">
        <f>C10</f>
        <v>192</v>
      </c>
      <c r="O15" s="12">
        <f>IF(O11=255,D10,O12+T13-1)</f>
        <v>168</v>
      </c>
      <c r="P15" s="12">
        <f>IF(P11=0,255,IF(P11=255,E10,P12+T13-1))</f>
        <v>20</v>
      </c>
      <c r="Q15" s="12">
        <f>IF(Q11=0,255,Q12+T13-1)</f>
        <v>191</v>
      </c>
      <c r="R15" s="12"/>
      <c r="S15" s="11" t="s">
        <v>17</v>
      </c>
      <c r="T15" s="12">
        <f>(2^(32-T11-T12))-2</f>
        <v>62</v>
      </c>
      <c r="U15" s="13">
        <f t="shared" si="14"/>
        <v>1</v>
      </c>
      <c r="V15" s="13">
        <f t="shared" si="15"/>
        <v>1</v>
      </c>
      <c r="W15" s="13">
        <f>IF(F15="","",IF(F15=Q15,1,0))</f>
        <v>1</v>
      </c>
      <c r="X15" s="42">
        <f t="shared" si="16"/>
        <v>1</v>
      </c>
      <c r="Y15" s="40"/>
      <c r="Z15" s="14" t="s">
        <v>1</v>
      </c>
      <c r="AA15" s="15">
        <f t="shared" si="22"/>
        <v>192</v>
      </c>
      <c r="AB15" s="22">
        <v>168</v>
      </c>
      <c r="AC15" s="23">
        <v>80</v>
      </c>
      <c r="AD15" s="24">
        <v>127</v>
      </c>
      <c r="AE15" s="48">
        <f t="shared" si="17"/>
        <v>3</v>
      </c>
      <c r="AH15" s="10" t="s">
        <v>23</v>
      </c>
      <c r="AI15" s="26">
        <v>62</v>
      </c>
      <c r="AJ15" s="47">
        <f t="shared" si="12"/>
        <v>1</v>
      </c>
      <c r="AK15" s="11" t="s">
        <v>10</v>
      </c>
      <c r="AL15" s="12">
        <f>AA10</f>
        <v>192</v>
      </c>
      <c r="AM15" s="12">
        <f>IF(AM11=255,AB10,AM12+AR13-1)</f>
        <v>168</v>
      </c>
      <c r="AN15" s="12">
        <f>IF(AN11=0,255,IF(AN11=255,AC10,AN12+AR13-1))</f>
        <v>80</v>
      </c>
      <c r="AO15" s="12">
        <f>IF(AO11=0,255,AO12+AR13-1)</f>
        <v>127</v>
      </c>
      <c r="AP15" s="12"/>
      <c r="AQ15" s="11" t="s">
        <v>17</v>
      </c>
      <c r="AR15" s="12">
        <f>(2^(32-AR11-AR12))-2</f>
        <v>62</v>
      </c>
      <c r="AS15" s="13">
        <f t="shared" si="18"/>
        <v>1</v>
      </c>
      <c r="AT15" s="13">
        <f t="shared" si="19"/>
        <v>1</v>
      </c>
      <c r="AU15" s="13">
        <f>IF(AD15="","",IF(AD15=AO15,1,0))</f>
        <v>1</v>
      </c>
      <c r="AV15" s="13">
        <f t="shared" si="20"/>
        <v>1</v>
      </c>
    </row>
    <row r="16" spans="1:48" x14ac:dyDescent="0.35">
      <c r="A16" s="41"/>
      <c r="B16" s="32"/>
      <c r="C16" s="29"/>
      <c r="D16" s="29"/>
      <c r="E16" s="30"/>
      <c r="F16" s="31"/>
      <c r="G16" s="28"/>
      <c r="H16" s="28"/>
      <c r="I16" s="28"/>
      <c r="J16" s="33"/>
      <c r="K16" s="28"/>
      <c r="L16" s="38"/>
      <c r="M16" s="45"/>
      <c r="N16" s="46"/>
      <c r="O16" s="46"/>
      <c r="P16" s="46"/>
      <c r="Q16" s="46"/>
      <c r="R16" s="46"/>
      <c r="S16" s="45"/>
      <c r="T16" s="46"/>
      <c r="U16" s="46"/>
      <c r="V16" s="46"/>
      <c r="W16" s="46"/>
      <c r="X16" s="46"/>
      <c r="Y16" s="41"/>
      <c r="Z16" s="32"/>
      <c r="AA16" s="29"/>
      <c r="AB16" s="29"/>
      <c r="AC16" s="30"/>
      <c r="AD16" s="31"/>
      <c r="AE16" s="28"/>
      <c r="AF16" s="28"/>
      <c r="AG16" s="28"/>
      <c r="AH16" s="33"/>
      <c r="AI16" s="28"/>
      <c r="AJ16" s="38"/>
      <c r="AK16" s="45"/>
      <c r="AL16" s="46"/>
      <c r="AM16" s="46"/>
      <c r="AN16" s="46"/>
      <c r="AO16" s="46"/>
      <c r="AP16" s="46"/>
      <c r="AQ16" s="45"/>
      <c r="AR16" s="46"/>
      <c r="AS16" s="46"/>
      <c r="AT16" s="46"/>
      <c r="AU16" s="46"/>
      <c r="AV16" s="46"/>
    </row>
    <row r="17" spans="1:48" x14ac:dyDescent="0.35">
      <c r="A17" s="40">
        <v>3</v>
      </c>
      <c r="C17" s="17"/>
      <c r="D17" s="17"/>
      <c r="E17" s="18"/>
      <c r="K17" s="50"/>
      <c r="L17" s="51">
        <f>IF(W18&lt;3,"",(SUM(G19:G23)+SUM(L18:L23))/21)</f>
        <v>1</v>
      </c>
      <c r="U17" s="12"/>
      <c r="V17" s="12"/>
      <c r="Y17" s="40">
        <v>9</v>
      </c>
      <c r="AA17" s="17"/>
      <c r="AB17" s="17"/>
      <c r="AC17" s="18"/>
      <c r="AD17" s="19"/>
      <c r="AI17" s="50"/>
      <c r="AJ17" s="51">
        <f>IF(AU18&lt;3,"",(SUM(AE19:AE23)+SUM(AJ18:AJ23))/21)</f>
        <v>1</v>
      </c>
      <c r="AS17" s="12"/>
      <c r="AT17" s="12"/>
    </row>
    <row r="18" spans="1:48" s="2" customFormat="1" x14ac:dyDescent="0.35">
      <c r="A18" s="40"/>
      <c r="B18" s="2" t="s">
        <v>2</v>
      </c>
      <c r="C18" s="3">
        <v>192</v>
      </c>
      <c r="D18" s="4">
        <v>168</v>
      </c>
      <c r="E18" s="5">
        <v>30</v>
      </c>
      <c r="F18" s="3">
        <v>215</v>
      </c>
      <c r="G18" s="6" t="s">
        <v>4</v>
      </c>
      <c r="H18" s="1">
        <v>27</v>
      </c>
      <c r="I18" s="1"/>
      <c r="J18" t="s">
        <v>24</v>
      </c>
      <c r="K18" s="25" t="s">
        <v>26</v>
      </c>
      <c r="L18" s="47">
        <f>IF(K18="","",IF(K18=T18,1,0))</f>
        <v>1</v>
      </c>
      <c r="S18" s="7" t="s">
        <v>13</v>
      </c>
      <c r="T18" s="8" t="str">
        <f>IF(C18&lt;128,"A",IF(C18&lt;192,"B","C"))</f>
        <v>C</v>
      </c>
      <c r="U18" s="53" t="s">
        <v>18</v>
      </c>
      <c r="V18" s="54"/>
      <c r="W18" s="53">
        <f>SUM(U19:X23)</f>
        <v>20</v>
      </c>
      <c r="X18" s="55"/>
      <c r="Y18" s="40"/>
      <c r="Z18" s="2" t="s">
        <v>2</v>
      </c>
      <c r="AA18" s="3">
        <v>192</v>
      </c>
      <c r="AB18" s="4">
        <v>168</v>
      </c>
      <c r="AC18" s="5">
        <v>90</v>
      </c>
      <c r="AD18" s="3">
        <v>33</v>
      </c>
      <c r="AE18" s="6" t="s">
        <v>4</v>
      </c>
      <c r="AF18" s="1">
        <v>27</v>
      </c>
      <c r="AG18" s="1"/>
      <c r="AH18" t="s">
        <v>24</v>
      </c>
      <c r="AI18" s="25" t="s">
        <v>26</v>
      </c>
      <c r="AJ18" s="47">
        <f>IF(AI18="","",IF(AI18=AR18,1,0))</f>
        <v>1</v>
      </c>
      <c r="AQ18" s="7" t="s">
        <v>13</v>
      </c>
      <c r="AR18" s="8" t="str">
        <f>IF(AA18&lt;128,"A",IF(AA18&lt;192,"B","C"))</f>
        <v>C</v>
      </c>
      <c r="AS18" s="53" t="s">
        <v>18</v>
      </c>
      <c r="AT18" s="54"/>
      <c r="AU18" s="53">
        <f>SUM(AS19:AV23)</f>
        <v>20</v>
      </c>
      <c r="AV18" s="54"/>
    </row>
    <row r="19" spans="1:48" x14ac:dyDescent="0.35">
      <c r="A19" s="40"/>
      <c r="B19" t="s">
        <v>3</v>
      </c>
      <c r="C19" s="9">
        <v>255</v>
      </c>
      <c r="D19" s="21">
        <v>255</v>
      </c>
      <c r="E19" s="21">
        <v>255</v>
      </c>
      <c r="F19" s="21">
        <v>224</v>
      </c>
      <c r="G19" s="48">
        <f>IF(D19="","",IF(E19="","",IF(F19="","",SUM(U19:W19))))</f>
        <v>3</v>
      </c>
      <c r="J19" s="10" t="s">
        <v>19</v>
      </c>
      <c r="K19" s="26">
        <v>24</v>
      </c>
      <c r="L19" s="47">
        <f t="shared" ref="L19:L23" si="23">IF(K19="","",IF(K19=T19,1,0))</f>
        <v>1</v>
      </c>
      <c r="M19" s="11" t="s">
        <v>8</v>
      </c>
      <c r="N19" s="12">
        <v>255</v>
      </c>
      <c r="O19" s="12">
        <f>IF(H18=8,0,IF(H18&gt;=16,255,256-T21))</f>
        <v>255</v>
      </c>
      <c r="P19" s="12">
        <f>IF(H18&lt;16,0,IF(H18&gt;=24,255,256-T21))</f>
        <v>255</v>
      </c>
      <c r="Q19" s="12">
        <f>IF(H18&gt;24,256-T21,0)</f>
        <v>224</v>
      </c>
      <c r="R19" s="12"/>
      <c r="S19" s="11" t="s">
        <v>14</v>
      </c>
      <c r="T19" s="12">
        <f>IF(T18="A",8,IF(T18="B",16,24))</f>
        <v>24</v>
      </c>
      <c r="U19" s="13">
        <f>IF(D19="","",IF(D19=O19,1,0))</f>
        <v>1</v>
      </c>
      <c r="V19" s="13">
        <f>IF(E19="","",IF(E19=P19,1,0))</f>
        <v>1</v>
      </c>
      <c r="W19" s="13">
        <f>IF(F19="","",IF(F19=Q19,1,0))</f>
        <v>1</v>
      </c>
      <c r="X19" s="42">
        <f>IF(K19="","",IF(K19=T19,1,0))</f>
        <v>1</v>
      </c>
      <c r="Y19" s="40"/>
      <c r="Z19" t="s">
        <v>3</v>
      </c>
      <c r="AA19" s="9">
        <v>255</v>
      </c>
      <c r="AB19" s="21">
        <v>255</v>
      </c>
      <c r="AC19" s="21">
        <v>255</v>
      </c>
      <c r="AD19" s="21">
        <v>224</v>
      </c>
      <c r="AE19" s="48">
        <f>IF(AB19="","",IF(AC19="","",IF(AD19="","",SUM(AS19:AU19))))</f>
        <v>3</v>
      </c>
      <c r="AH19" s="10" t="s">
        <v>19</v>
      </c>
      <c r="AI19" s="26">
        <v>24</v>
      </c>
      <c r="AJ19" s="47">
        <f t="shared" ref="AJ19:AJ23" si="24">IF(AI19="","",IF(AI19=AR19,1,0))</f>
        <v>1</v>
      </c>
      <c r="AK19" s="11" t="s">
        <v>8</v>
      </c>
      <c r="AL19" s="12">
        <v>255</v>
      </c>
      <c r="AM19" s="12">
        <f>IF(AF18=8,0,IF(AF18&gt;=16,255,256-AR21))</f>
        <v>255</v>
      </c>
      <c r="AN19" s="12">
        <f>IF(AF18&lt;16,0,IF(AF18&gt;=24,255,256-AR21))</f>
        <v>255</v>
      </c>
      <c r="AO19" s="12">
        <f>IF(AF18&gt;24,256-AR21,0)</f>
        <v>224</v>
      </c>
      <c r="AP19" s="12"/>
      <c r="AQ19" s="11" t="s">
        <v>14</v>
      </c>
      <c r="AR19" s="12">
        <f>IF(AR18="A",8,IF(AR18="B",16,24))</f>
        <v>24</v>
      </c>
      <c r="AS19" s="13">
        <f>IF(AB19="","",IF(AB19=AM19,1,0))</f>
        <v>1</v>
      </c>
      <c r="AT19" s="13">
        <f>IF(AC19="","",IF(AC19=AN19,1,0))</f>
        <v>1</v>
      </c>
      <c r="AU19" s="13">
        <f>IF(AD19="","",IF(AD19=AO19,1,0))</f>
        <v>1</v>
      </c>
      <c r="AV19" s="13">
        <f>IF(AI19="","",IF(AI19=AR19,1,0))</f>
        <v>1</v>
      </c>
    </row>
    <row r="20" spans="1:48" x14ac:dyDescent="0.35">
      <c r="A20" s="40"/>
      <c r="B20" s="14" t="s">
        <v>0</v>
      </c>
      <c r="C20" s="15">
        <f>$C$2</f>
        <v>192</v>
      </c>
      <c r="D20" s="22">
        <v>168</v>
      </c>
      <c r="E20" s="23">
        <v>30</v>
      </c>
      <c r="F20" s="24">
        <v>192</v>
      </c>
      <c r="G20" s="48">
        <f t="shared" ref="G20:G23" si="25">IF(D20="","",IF(E20="","",IF(F20="","",SUM(U20:W20))))</f>
        <v>3</v>
      </c>
      <c r="J20" s="10" t="s">
        <v>20</v>
      </c>
      <c r="K20" s="26">
        <v>3</v>
      </c>
      <c r="L20" s="47">
        <f t="shared" si="23"/>
        <v>1</v>
      </c>
      <c r="M20" s="11" t="s">
        <v>9</v>
      </c>
      <c r="N20" s="12">
        <f>C18</f>
        <v>192</v>
      </c>
      <c r="O20" s="12">
        <f>IF(O19=0,0,IF(O19=255,D18,T21*(INT(D18/T21))))</f>
        <v>168</v>
      </c>
      <c r="P20" s="12">
        <f>IF(P19=0,0,IF(P19=255,E18,T21*(INT(E18/T21))))</f>
        <v>30</v>
      </c>
      <c r="Q20" s="12">
        <f>IF(Q19=0,0,T21*(INT(F18/T21)))</f>
        <v>192</v>
      </c>
      <c r="R20" s="12"/>
      <c r="S20" s="11" t="s">
        <v>7</v>
      </c>
      <c r="T20" s="12">
        <f>H18-T19</f>
        <v>3</v>
      </c>
      <c r="U20" s="13">
        <f t="shared" ref="U20:U23" si="26">IF(D20="","",IF(D20=O20,1,0))</f>
        <v>1</v>
      </c>
      <c r="V20" s="13">
        <f t="shared" ref="V20:V23" si="27">IF(E20="","",IF(E20=P20,1,0))</f>
        <v>1</v>
      </c>
      <c r="W20" s="13">
        <f>IF(F20="","",IF(F20=Q20,1,0))</f>
        <v>1</v>
      </c>
      <c r="X20" s="42">
        <f t="shared" ref="X20:X23" si="28">IF(K20="","",IF(K20=T20,1,0))</f>
        <v>1</v>
      </c>
      <c r="Y20" s="40"/>
      <c r="Z20" s="14" t="s">
        <v>0</v>
      </c>
      <c r="AA20" s="15">
        <f>$C$2</f>
        <v>192</v>
      </c>
      <c r="AB20" s="22">
        <v>168</v>
      </c>
      <c r="AC20" s="23">
        <v>90</v>
      </c>
      <c r="AD20" s="24">
        <v>32</v>
      </c>
      <c r="AE20" s="48">
        <f t="shared" ref="AE20:AE23" si="29">IF(AB20="","",IF(AC20="","",IF(AD20="","",SUM(AS20:AU20))))</f>
        <v>3</v>
      </c>
      <c r="AH20" s="10" t="s">
        <v>20</v>
      </c>
      <c r="AI20" s="26">
        <v>3</v>
      </c>
      <c r="AJ20" s="47">
        <f t="shared" si="24"/>
        <v>1</v>
      </c>
      <c r="AK20" s="11" t="s">
        <v>9</v>
      </c>
      <c r="AL20" s="12">
        <f>AA18</f>
        <v>192</v>
      </c>
      <c r="AM20" s="12">
        <f>IF(AM19=0,0,IF(AM19=255,AB18,AR21*(INT(AB18/AR21))))</f>
        <v>168</v>
      </c>
      <c r="AN20" s="12">
        <f>IF(AN19=0,0,IF(AN19=255,AC18,AR21*(INT(AC18/AR21))))</f>
        <v>90</v>
      </c>
      <c r="AO20" s="12">
        <f>IF(AO19=0,0,AR21*(INT(AD18/AR21)))</f>
        <v>32</v>
      </c>
      <c r="AP20" s="12"/>
      <c r="AQ20" s="11" t="s">
        <v>7</v>
      </c>
      <c r="AR20" s="12">
        <f>AF18-AR19</f>
        <v>3</v>
      </c>
      <c r="AS20" s="13">
        <f t="shared" ref="AS20:AS23" si="30">IF(AB20="","",IF(AB20=AM20,1,0))</f>
        <v>1</v>
      </c>
      <c r="AT20" s="13">
        <f t="shared" ref="AT20:AT23" si="31">IF(AC20="","",IF(AC20=AN20,1,0))</f>
        <v>1</v>
      </c>
      <c r="AU20" s="13">
        <f>IF(AD20="","",IF(AD20=AO20,1,0))</f>
        <v>1</v>
      </c>
      <c r="AV20" s="13">
        <f t="shared" ref="AV20:AV23" si="32">IF(AI20="","",IF(AI20=AR20,1,0))</f>
        <v>1</v>
      </c>
    </row>
    <row r="21" spans="1:48" x14ac:dyDescent="0.35">
      <c r="A21" s="40"/>
      <c r="B21" s="14" t="s">
        <v>5</v>
      </c>
      <c r="C21" s="15">
        <f t="shared" ref="C21:C23" si="33">$C$2</f>
        <v>192</v>
      </c>
      <c r="D21" s="22">
        <v>168</v>
      </c>
      <c r="E21" s="23">
        <v>30</v>
      </c>
      <c r="F21" s="24">
        <v>193</v>
      </c>
      <c r="G21" s="48">
        <f t="shared" si="25"/>
        <v>3</v>
      </c>
      <c r="J21" s="10" t="s">
        <v>21</v>
      </c>
      <c r="K21" s="26">
        <v>32</v>
      </c>
      <c r="L21" s="47">
        <f t="shared" si="23"/>
        <v>1</v>
      </c>
      <c r="M21" s="11" t="s">
        <v>11</v>
      </c>
      <c r="N21" s="12">
        <f>C18</f>
        <v>192</v>
      </c>
      <c r="O21" s="12">
        <f>O20</f>
        <v>168</v>
      </c>
      <c r="P21" s="12">
        <f>P20</f>
        <v>30</v>
      </c>
      <c r="Q21" s="12">
        <f>Q20+1</f>
        <v>193</v>
      </c>
      <c r="R21" s="12"/>
      <c r="S21" s="11" t="s">
        <v>16</v>
      </c>
      <c r="T21" s="12">
        <f>256/2^IF(T20&lt;8,T20,IF(T20&lt;16,T20-8,IF(T20&lt;24,T20-16,T20-24)))</f>
        <v>32</v>
      </c>
      <c r="U21" s="13">
        <f t="shared" si="26"/>
        <v>1</v>
      </c>
      <c r="V21" s="13">
        <f t="shared" si="27"/>
        <v>1</v>
      </c>
      <c r="W21" s="13">
        <f>IF(F21="","",IF(F21=Q21,1,0))</f>
        <v>1</v>
      </c>
      <c r="X21" s="42">
        <f t="shared" si="28"/>
        <v>1</v>
      </c>
      <c r="Y21" s="40"/>
      <c r="Z21" s="14" t="s">
        <v>5</v>
      </c>
      <c r="AA21" s="15">
        <f t="shared" ref="AA21:AA23" si="34">$C$2</f>
        <v>192</v>
      </c>
      <c r="AB21" s="22">
        <v>168</v>
      </c>
      <c r="AC21" s="23">
        <v>90</v>
      </c>
      <c r="AD21" s="24">
        <v>33</v>
      </c>
      <c r="AE21" s="48">
        <f t="shared" si="29"/>
        <v>3</v>
      </c>
      <c r="AH21" s="10" t="s">
        <v>21</v>
      </c>
      <c r="AI21" s="26">
        <v>32</v>
      </c>
      <c r="AJ21" s="47">
        <f t="shared" si="24"/>
        <v>1</v>
      </c>
      <c r="AK21" s="11" t="s">
        <v>11</v>
      </c>
      <c r="AL21" s="12">
        <f>AA18</f>
        <v>192</v>
      </c>
      <c r="AM21" s="12">
        <f>AM20</f>
        <v>168</v>
      </c>
      <c r="AN21" s="12">
        <f>AN20</f>
        <v>90</v>
      </c>
      <c r="AO21" s="12">
        <f>AO20+1</f>
        <v>33</v>
      </c>
      <c r="AP21" s="12"/>
      <c r="AQ21" s="11" t="s">
        <v>16</v>
      </c>
      <c r="AR21" s="12">
        <f>256/2^IF(AR20&lt;8,AR20,IF(AR20&lt;16,AR20-8,IF(AR20&lt;24,AR20-16,AR20-24)))</f>
        <v>32</v>
      </c>
      <c r="AS21" s="13">
        <f t="shared" si="30"/>
        <v>1</v>
      </c>
      <c r="AT21" s="13">
        <f t="shared" si="31"/>
        <v>1</v>
      </c>
      <c r="AU21" s="13">
        <f>IF(AD21="","",IF(AD21=AO21,1,0))</f>
        <v>1</v>
      </c>
      <c r="AV21" s="13">
        <f t="shared" si="32"/>
        <v>1</v>
      </c>
    </row>
    <row r="22" spans="1:48" x14ac:dyDescent="0.35">
      <c r="A22" s="40"/>
      <c r="B22" s="14" t="s">
        <v>6</v>
      </c>
      <c r="C22" s="15">
        <f t="shared" si="33"/>
        <v>192</v>
      </c>
      <c r="D22" s="22">
        <v>168</v>
      </c>
      <c r="E22" s="23">
        <v>30</v>
      </c>
      <c r="F22" s="24">
        <v>222</v>
      </c>
      <c r="G22" s="48">
        <f t="shared" si="25"/>
        <v>3</v>
      </c>
      <c r="J22" s="10" t="s">
        <v>22</v>
      </c>
      <c r="K22" s="26">
        <v>8</v>
      </c>
      <c r="L22" s="47">
        <f t="shared" si="23"/>
        <v>1</v>
      </c>
      <c r="M22" s="11" t="s">
        <v>12</v>
      </c>
      <c r="N22" s="12">
        <f>C18</f>
        <v>192</v>
      </c>
      <c r="O22" s="12">
        <f>O23</f>
        <v>168</v>
      </c>
      <c r="P22" s="12">
        <f>P23</f>
        <v>30</v>
      </c>
      <c r="Q22" s="12">
        <f>Q23-1</f>
        <v>222</v>
      </c>
      <c r="R22" s="12"/>
      <c r="S22" s="11" t="s">
        <v>15</v>
      </c>
      <c r="T22" s="16">
        <f>2^T20</f>
        <v>8</v>
      </c>
      <c r="U22" s="13">
        <f t="shared" si="26"/>
        <v>1</v>
      </c>
      <c r="V22" s="13">
        <f t="shared" si="27"/>
        <v>1</v>
      </c>
      <c r="W22" s="13">
        <f>IF(F22="","",IF(F22=Q22,1,0))</f>
        <v>1</v>
      </c>
      <c r="X22" s="42">
        <f t="shared" si="28"/>
        <v>1</v>
      </c>
      <c r="Y22" s="40"/>
      <c r="Z22" s="14" t="s">
        <v>6</v>
      </c>
      <c r="AA22" s="15">
        <f t="shared" si="34"/>
        <v>192</v>
      </c>
      <c r="AB22" s="22">
        <v>168</v>
      </c>
      <c r="AC22" s="23">
        <v>90</v>
      </c>
      <c r="AD22" s="24">
        <v>62</v>
      </c>
      <c r="AE22" s="48">
        <f t="shared" si="29"/>
        <v>3</v>
      </c>
      <c r="AH22" s="10" t="s">
        <v>22</v>
      </c>
      <c r="AI22" s="26">
        <v>8</v>
      </c>
      <c r="AJ22" s="47">
        <f t="shared" si="24"/>
        <v>1</v>
      </c>
      <c r="AK22" s="11" t="s">
        <v>12</v>
      </c>
      <c r="AL22" s="12">
        <f>AA18</f>
        <v>192</v>
      </c>
      <c r="AM22" s="12">
        <f>AM23</f>
        <v>168</v>
      </c>
      <c r="AN22" s="12">
        <f>AN23</f>
        <v>90</v>
      </c>
      <c r="AO22" s="12">
        <f>AO23-1</f>
        <v>62</v>
      </c>
      <c r="AP22" s="12"/>
      <c r="AQ22" s="11" t="s">
        <v>15</v>
      </c>
      <c r="AR22" s="16">
        <f>2^AR20</f>
        <v>8</v>
      </c>
      <c r="AS22" s="13">
        <f t="shared" si="30"/>
        <v>1</v>
      </c>
      <c r="AT22" s="13">
        <f t="shared" si="31"/>
        <v>1</v>
      </c>
      <c r="AU22" s="13">
        <f>IF(AD22="","",IF(AD22=AO22,1,0))</f>
        <v>1</v>
      </c>
      <c r="AV22" s="13">
        <f t="shared" si="32"/>
        <v>1</v>
      </c>
    </row>
    <row r="23" spans="1:48" x14ac:dyDescent="0.35">
      <c r="A23" s="40"/>
      <c r="B23" s="14" t="s">
        <v>1</v>
      </c>
      <c r="C23" s="15">
        <f t="shared" si="33"/>
        <v>192</v>
      </c>
      <c r="D23" s="22">
        <v>168</v>
      </c>
      <c r="E23" s="23">
        <v>30</v>
      </c>
      <c r="F23" s="24">
        <v>223</v>
      </c>
      <c r="G23" s="48">
        <f t="shared" si="25"/>
        <v>3</v>
      </c>
      <c r="J23" s="10" t="s">
        <v>23</v>
      </c>
      <c r="K23" s="26">
        <v>30</v>
      </c>
      <c r="L23" s="47">
        <f t="shared" si="23"/>
        <v>1</v>
      </c>
      <c r="M23" s="11" t="s">
        <v>10</v>
      </c>
      <c r="N23" s="12">
        <f>C18</f>
        <v>192</v>
      </c>
      <c r="O23" s="12">
        <f>IF(O19=255,D18,O20+T21-1)</f>
        <v>168</v>
      </c>
      <c r="P23" s="12">
        <f>IF(P19=0,255,IF(P19=255,E18,P20+T21-1))</f>
        <v>30</v>
      </c>
      <c r="Q23" s="12">
        <f>IF(Q19=0,255,Q20+T21-1)</f>
        <v>223</v>
      </c>
      <c r="R23" s="12"/>
      <c r="S23" s="11" t="s">
        <v>17</v>
      </c>
      <c r="T23" s="12">
        <f>(2^(32-T19-T20))-2</f>
        <v>30</v>
      </c>
      <c r="U23" s="13">
        <f t="shared" si="26"/>
        <v>1</v>
      </c>
      <c r="V23" s="13">
        <f t="shared" si="27"/>
        <v>1</v>
      </c>
      <c r="W23" s="13">
        <f>IF(F23="","",IF(F23=Q23,1,0))</f>
        <v>1</v>
      </c>
      <c r="X23" s="42">
        <f t="shared" si="28"/>
        <v>1</v>
      </c>
      <c r="Y23" s="40"/>
      <c r="Z23" s="14" t="s">
        <v>1</v>
      </c>
      <c r="AA23" s="15">
        <f t="shared" si="34"/>
        <v>192</v>
      </c>
      <c r="AB23" s="22">
        <v>168</v>
      </c>
      <c r="AC23" s="23">
        <v>90</v>
      </c>
      <c r="AD23" s="24">
        <v>63</v>
      </c>
      <c r="AE23" s="48">
        <f t="shared" si="29"/>
        <v>3</v>
      </c>
      <c r="AH23" s="10" t="s">
        <v>23</v>
      </c>
      <c r="AI23" s="26">
        <v>30</v>
      </c>
      <c r="AJ23" s="47">
        <f t="shared" si="24"/>
        <v>1</v>
      </c>
      <c r="AK23" s="11" t="s">
        <v>10</v>
      </c>
      <c r="AL23" s="12">
        <f>AA18</f>
        <v>192</v>
      </c>
      <c r="AM23" s="12">
        <f>IF(AM19=255,AB18,AM20+AR21-1)</f>
        <v>168</v>
      </c>
      <c r="AN23" s="12">
        <f>IF(AN19=0,255,IF(AN19=255,AC18,AN20+AR21-1))</f>
        <v>90</v>
      </c>
      <c r="AO23" s="12">
        <f>IF(AO19=0,255,AO20+AR21-1)</f>
        <v>63</v>
      </c>
      <c r="AP23" s="12"/>
      <c r="AQ23" s="11" t="s">
        <v>17</v>
      </c>
      <c r="AR23" s="12">
        <f>(2^(32-AR19-AR20))-2</f>
        <v>30</v>
      </c>
      <c r="AS23" s="13">
        <f t="shared" si="30"/>
        <v>1</v>
      </c>
      <c r="AT23" s="13">
        <f t="shared" si="31"/>
        <v>1</v>
      </c>
      <c r="AU23" s="13">
        <f>IF(AD23="","",IF(AD23=AO23,1,0))</f>
        <v>1</v>
      </c>
      <c r="AV23" s="13">
        <f t="shared" si="32"/>
        <v>1</v>
      </c>
    </row>
    <row r="24" spans="1:48" x14ac:dyDescent="0.35">
      <c r="A24" s="40"/>
      <c r="B24" s="14"/>
      <c r="C24" s="17"/>
      <c r="D24" s="17"/>
      <c r="E24" s="18"/>
      <c r="J24" s="10"/>
      <c r="L24" s="37"/>
      <c r="M24" s="11"/>
      <c r="N24" s="12"/>
      <c r="O24" s="12"/>
      <c r="P24" s="12"/>
      <c r="Q24" s="12"/>
      <c r="R24" s="12"/>
      <c r="S24" s="11"/>
      <c r="T24" s="12"/>
      <c r="U24" s="12"/>
      <c r="V24" s="12"/>
      <c r="W24" s="12"/>
      <c r="X24" s="12"/>
      <c r="Y24" s="40"/>
      <c r="Z24" s="14"/>
      <c r="AA24" s="17"/>
      <c r="AB24" s="17"/>
      <c r="AC24" s="18"/>
      <c r="AD24" s="19"/>
      <c r="AH24" s="10"/>
      <c r="AJ24" s="37"/>
      <c r="AK24" s="45"/>
      <c r="AL24" s="46"/>
      <c r="AM24" s="46"/>
      <c r="AN24" s="46"/>
      <c r="AO24" s="46"/>
      <c r="AP24" s="46"/>
      <c r="AQ24" s="45"/>
      <c r="AR24" s="46"/>
      <c r="AS24" s="46"/>
      <c r="AT24" s="46"/>
      <c r="AU24" s="46"/>
      <c r="AV24" s="46"/>
    </row>
    <row r="25" spans="1:48" x14ac:dyDescent="0.35">
      <c r="A25" s="39">
        <v>4</v>
      </c>
      <c r="B25" s="27"/>
      <c r="C25" s="34"/>
      <c r="D25" s="34"/>
      <c r="E25" s="35"/>
      <c r="F25" s="36"/>
      <c r="G25" s="27"/>
      <c r="H25" s="27"/>
      <c r="I25" s="27"/>
      <c r="J25" s="27"/>
      <c r="K25" s="50"/>
      <c r="L25" s="51">
        <f>IF(W26&lt;3,"",(SUM(G27:G31)+SUM(L26:L31))/21)</f>
        <v>1</v>
      </c>
      <c r="M25" s="27"/>
      <c r="N25" s="27"/>
      <c r="O25" s="27"/>
      <c r="P25" s="27"/>
      <c r="Q25" s="27"/>
      <c r="R25" s="27"/>
      <c r="S25" s="27"/>
      <c r="T25" s="27"/>
      <c r="U25" s="44"/>
      <c r="V25" s="44"/>
      <c r="W25" s="27"/>
      <c r="X25" s="27"/>
      <c r="Y25" s="39">
        <v>10</v>
      </c>
      <c r="Z25" s="27"/>
      <c r="AA25" s="34"/>
      <c r="AB25" s="34"/>
      <c r="AC25" s="35"/>
      <c r="AD25" s="36"/>
      <c r="AE25" s="27"/>
      <c r="AF25" s="27"/>
      <c r="AG25" s="27"/>
      <c r="AH25" s="27"/>
      <c r="AI25" s="50"/>
      <c r="AJ25" s="51">
        <f>IF(AU26&lt;3,"",(SUM(AE27:AE31)+SUM(AJ26:AJ31))/21)</f>
        <v>1</v>
      </c>
      <c r="AS25" s="12"/>
      <c r="AT25" s="12"/>
    </row>
    <row r="26" spans="1:48" s="2" customFormat="1" x14ac:dyDescent="0.35">
      <c r="A26" s="40"/>
      <c r="B26" s="2" t="s">
        <v>2</v>
      </c>
      <c r="C26" s="3">
        <v>192</v>
      </c>
      <c r="D26" s="4">
        <v>168</v>
      </c>
      <c r="E26" s="5">
        <v>40</v>
      </c>
      <c r="F26" s="3">
        <v>75</v>
      </c>
      <c r="G26" s="6" t="s">
        <v>4</v>
      </c>
      <c r="H26" s="1">
        <v>28</v>
      </c>
      <c r="I26" s="1"/>
      <c r="J26" t="s">
        <v>24</v>
      </c>
      <c r="K26" s="25" t="s">
        <v>26</v>
      </c>
      <c r="L26" s="47">
        <f>IF(K26="","",IF(K26=T26,1,0))</f>
        <v>1</v>
      </c>
      <c r="S26" s="7" t="s">
        <v>13</v>
      </c>
      <c r="T26" s="8" t="str">
        <f>IF(C26&lt;128,"A",IF(C26&lt;192,"B","C"))</f>
        <v>C</v>
      </c>
      <c r="U26" s="53" t="s">
        <v>18</v>
      </c>
      <c r="V26" s="54"/>
      <c r="W26" s="53">
        <f>SUM(U27:X31)</f>
        <v>20</v>
      </c>
      <c r="X26" s="55"/>
      <c r="Y26" s="40"/>
      <c r="Z26" s="2" t="s">
        <v>2</v>
      </c>
      <c r="AA26" s="3">
        <v>192</v>
      </c>
      <c r="AB26" s="4">
        <v>168</v>
      </c>
      <c r="AC26" s="5">
        <v>100</v>
      </c>
      <c r="AD26" s="3">
        <v>65</v>
      </c>
      <c r="AE26" s="6" t="s">
        <v>4</v>
      </c>
      <c r="AF26" s="1">
        <v>28</v>
      </c>
      <c r="AG26" s="1"/>
      <c r="AH26" t="s">
        <v>24</v>
      </c>
      <c r="AI26" s="25" t="s">
        <v>26</v>
      </c>
      <c r="AJ26" s="47">
        <f>IF(AI26="","",IF(AI26=AR26,1,0))</f>
        <v>1</v>
      </c>
      <c r="AQ26" s="7" t="s">
        <v>13</v>
      </c>
      <c r="AR26" s="8" t="str">
        <f>IF(AA26&lt;128,"A",IF(AA26&lt;192,"B","C"))</f>
        <v>C</v>
      </c>
      <c r="AS26" s="53" t="s">
        <v>18</v>
      </c>
      <c r="AT26" s="54"/>
      <c r="AU26" s="53">
        <f>SUM(AS27:AV31)</f>
        <v>20</v>
      </c>
      <c r="AV26" s="54"/>
    </row>
    <row r="27" spans="1:48" x14ac:dyDescent="0.35">
      <c r="A27" s="40"/>
      <c r="B27" t="s">
        <v>3</v>
      </c>
      <c r="C27" s="9">
        <v>255</v>
      </c>
      <c r="D27" s="21">
        <v>255</v>
      </c>
      <c r="E27" s="21">
        <v>255</v>
      </c>
      <c r="F27" s="21">
        <v>240</v>
      </c>
      <c r="G27" s="48">
        <f>IF(D27="","",IF(E27="","",IF(F27="","",SUM(U27:W27))))</f>
        <v>3</v>
      </c>
      <c r="J27" s="10" t="s">
        <v>19</v>
      </c>
      <c r="K27" s="26">
        <v>24</v>
      </c>
      <c r="L27" s="47">
        <f t="shared" ref="L27:L31" si="35">IF(K27="","",IF(K27=T27,1,0))</f>
        <v>1</v>
      </c>
      <c r="M27" s="11" t="s">
        <v>8</v>
      </c>
      <c r="N27" s="12">
        <v>255</v>
      </c>
      <c r="O27" s="12">
        <f>IF(H26=8,0,IF(H26&gt;=16,255,256-T29))</f>
        <v>255</v>
      </c>
      <c r="P27" s="12">
        <f>IF(H26&lt;16,0,IF(H26&gt;=24,255,256-T29))</f>
        <v>255</v>
      </c>
      <c r="Q27" s="12">
        <f>IF(H26&gt;24,256-T29,0)</f>
        <v>240</v>
      </c>
      <c r="R27" s="12"/>
      <c r="S27" s="11" t="s">
        <v>14</v>
      </c>
      <c r="T27" s="12">
        <f>IF(T26="A",8,IF(T26="B",16,24))</f>
        <v>24</v>
      </c>
      <c r="U27" s="13">
        <f>IF(D27="","",IF(D27=O27,1,0))</f>
        <v>1</v>
      </c>
      <c r="V27" s="13">
        <f>IF(E27="","",IF(E27=P27,1,0))</f>
        <v>1</v>
      </c>
      <c r="W27" s="13">
        <f>IF(F27="","",IF(F27=Q27,1,0))</f>
        <v>1</v>
      </c>
      <c r="X27" s="42">
        <f>IF(K27="","",IF(K27=T27,1,0))</f>
        <v>1</v>
      </c>
      <c r="Y27" s="40"/>
      <c r="Z27" t="s">
        <v>3</v>
      </c>
      <c r="AA27" s="9">
        <v>255</v>
      </c>
      <c r="AB27" s="21">
        <v>255</v>
      </c>
      <c r="AC27" s="21">
        <v>255</v>
      </c>
      <c r="AD27" s="21">
        <v>240</v>
      </c>
      <c r="AE27" s="48">
        <f>IF(AB27="","",IF(AC27="","",IF(AD27="","",SUM(AS27:AU27))))</f>
        <v>3</v>
      </c>
      <c r="AH27" s="10" t="s">
        <v>19</v>
      </c>
      <c r="AI27" s="26">
        <v>24</v>
      </c>
      <c r="AJ27" s="47">
        <f t="shared" ref="AJ27:AJ31" si="36">IF(AI27="","",IF(AI27=AR27,1,0))</f>
        <v>1</v>
      </c>
      <c r="AK27" s="11" t="s">
        <v>8</v>
      </c>
      <c r="AL27" s="12">
        <v>255</v>
      </c>
      <c r="AM27" s="12">
        <f>IF(AF26=8,0,IF(AF26&gt;=16,255,256-AR29))</f>
        <v>255</v>
      </c>
      <c r="AN27" s="12">
        <f>IF(AF26&lt;16,0,IF(AF26&gt;=24,255,256-AR29))</f>
        <v>255</v>
      </c>
      <c r="AO27" s="12">
        <f>IF(AF26&gt;24,256-AR29,0)</f>
        <v>240</v>
      </c>
      <c r="AP27" s="12"/>
      <c r="AQ27" s="11" t="s">
        <v>14</v>
      </c>
      <c r="AR27" s="12">
        <f>IF(AR26="A",8,IF(AR26="B",16,24))</f>
        <v>24</v>
      </c>
      <c r="AS27" s="13">
        <f>IF(AB27="","",IF(AB27=AM27,1,0))</f>
        <v>1</v>
      </c>
      <c r="AT27" s="13">
        <f>IF(AC27="","",IF(AC27=AN27,1,0))</f>
        <v>1</v>
      </c>
      <c r="AU27" s="13">
        <f>IF(AD27="","",IF(AD27=AO27,1,0))</f>
        <v>1</v>
      </c>
      <c r="AV27" s="13">
        <f>IF(AI27="","",IF(AI27=AR27,1,0))</f>
        <v>1</v>
      </c>
    </row>
    <row r="28" spans="1:48" x14ac:dyDescent="0.35">
      <c r="A28" s="40"/>
      <c r="B28" s="14" t="s">
        <v>0</v>
      </c>
      <c r="C28" s="15">
        <f>$C$2</f>
        <v>192</v>
      </c>
      <c r="D28" s="22">
        <v>168</v>
      </c>
      <c r="E28" s="23">
        <v>40</v>
      </c>
      <c r="F28" s="24">
        <v>64</v>
      </c>
      <c r="G28" s="48">
        <f t="shared" ref="G28:G31" si="37">IF(D28="","",IF(E28="","",IF(F28="","",SUM(U28:W28))))</f>
        <v>3</v>
      </c>
      <c r="J28" s="10" t="s">
        <v>20</v>
      </c>
      <c r="K28" s="26">
        <v>4</v>
      </c>
      <c r="L28" s="47">
        <f t="shared" si="35"/>
        <v>1</v>
      </c>
      <c r="M28" s="11" t="s">
        <v>9</v>
      </c>
      <c r="N28" s="12">
        <f>C26</f>
        <v>192</v>
      </c>
      <c r="O28" s="12">
        <f>IF(O27=0,0,IF(O27=255,D26,T29*(INT(D26/T29))))</f>
        <v>168</v>
      </c>
      <c r="P28" s="12">
        <f>IF(P27=0,0,IF(P27=255,E26,T29*(INT(E26/T29))))</f>
        <v>40</v>
      </c>
      <c r="Q28" s="12">
        <f>IF(Q27=0,0,T29*(INT(F26/T29)))</f>
        <v>64</v>
      </c>
      <c r="R28" s="12"/>
      <c r="S28" s="11" t="s">
        <v>7</v>
      </c>
      <c r="T28" s="12">
        <f>H26-T27</f>
        <v>4</v>
      </c>
      <c r="U28" s="13">
        <f t="shared" ref="U28:U31" si="38">IF(D28="","",IF(D28=O28,1,0))</f>
        <v>1</v>
      </c>
      <c r="V28" s="13">
        <f t="shared" ref="V28:V31" si="39">IF(E28="","",IF(E28=P28,1,0))</f>
        <v>1</v>
      </c>
      <c r="W28" s="13">
        <f>IF(F28="","",IF(F28=Q28,1,0))</f>
        <v>1</v>
      </c>
      <c r="X28" s="42">
        <f t="shared" ref="X28:X31" si="40">IF(K28="","",IF(K28=T28,1,0))</f>
        <v>1</v>
      </c>
      <c r="Y28" s="40"/>
      <c r="Z28" s="14" t="s">
        <v>0</v>
      </c>
      <c r="AA28" s="15">
        <f>$C$2</f>
        <v>192</v>
      </c>
      <c r="AB28" s="22">
        <v>168</v>
      </c>
      <c r="AC28" s="23">
        <v>100</v>
      </c>
      <c r="AD28" s="24">
        <v>64</v>
      </c>
      <c r="AE28" s="48">
        <f t="shared" ref="AE28:AE31" si="41">IF(AB28="","",IF(AC28="","",IF(AD28="","",SUM(AS28:AU28))))</f>
        <v>3</v>
      </c>
      <c r="AH28" s="10" t="s">
        <v>20</v>
      </c>
      <c r="AI28" s="26">
        <v>4</v>
      </c>
      <c r="AJ28" s="47">
        <f t="shared" si="36"/>
        <v>1</v>
      </c>
      <c r="AK28" s="11" t="s">
        <v>9</v>
      </c>
      <c r="AL28" s="12">
        <f>AA26</f>
        <v>192</v>
      </c>
      <c r="AM28" s="12">
        <f>IF(AM27=0,0,IF(AM27=255,AB26,AR29*(INT(AB26/AR29))))</f>
        <v>168</v>
      </c>
      <c r="AN28" s="12">
        <f>IF(AN27=0,0,IF(AN27=255,AC26,AR29*(INT(AC26/AR29))))</f>
        <v>100</v>
      </c>
      <c r="AO28" s="12">
        <f>IF(AO27=0,0,AR29*(INT(AD26/AR29)))</f>
        <v>64</v>
      </c>
      <c r="AP28" s="12"/>
      <c r="AQ28" s="11" t="s">
        <v>7</v>
      </c>
      <c r="AR28" s="12">
        <f>AF26-AR27</f>
        <v>4</v>
      </c>
      <c r="AS28" s="13">
        <f t="shared" ref="AS28:AS31" si="42">IF(AB28="","",IF(AB28=AM28,1,0))</f>
        <v>1</v>
      </c>
      <c r="AT28" s="13">
        <f t="shared" ref="AT28:AT31" si="43">IF(AC28="","",IF(AC28=AN28,1,0))</f>
        <v>1</v>
      </c>
      <c r="AU28" s="13">
        <f>IF(AD28="","",IF(AD28=AO28,1,0))</f>
        <v>1</v>
      </c>
      <c r="AV28" s="13">
        <f t="shared" ref="AV28:AV31" si="44">IF(AI28="","",IF(AI28=AR28,1,0))</f>
        <v>1</v>
      </c>
    </row>
    <row r="29" spans="1:48" x14ac:dyDescent="0.35">
      <c r="A29" s="40"/>
      <c r="B29" s="14" t="s">
        <v>5</v>
      </c>
      <c r="C29" s="15">
        <f t="shared" ref="C29:C31" si="45">$C$2</f>
        <v>192</v>
      </c>
      <c r="D29" s="22">
        <v>168</v>
      </c>
      <c r="E29" s="23">
        <v>40</v>
      </c>
      <c r="F29" s="24">
        <v>65</v>
      </c>
      <c r="G29" s="48">
        <f t="shared" si="37"/>
        <v>3</v>
      </c>
      <c r="J29" s="10" t="s">
        <v>21</v>
      </c>
      <c r="K29" s="26">
        <v>16</v>
      </c>
      <c r="L29" s="47">
        <f t="shared" si="35"/>
        <v>1</v>
      </c>
      <c r="M29" s="11" t="s">
        <v>11</v>
      </c>
      <c r="N29" s="12">
        <f>C26</f>
        <v>192</v>
      </c>
      <c r="O29" s="12">
        <f>O28</f>
        <v>168</v>
      </c>
      <c r="P29" s="12">
        <f>P28</f>
        <v>40</v>
      </c>
      <c r="Q29" s="12">
        <f>Q28+1</f>
        <v>65</v>
      </c>
      <c r="R29" s="12"/>
      <c r="S29" s="11" t="s">
        <v>16</v>
      </c>
      <c r="T29" s="12">
        <f>256/2^IF(T28&lt;8,T28,IF(T28&lt;16,T28-8,IF(T28&lt;24,T28-16,T28-24)))</f>
        <v>16</v>
      </c>
      <c r="U29" s="13">
        <f t="shared" si="38"/>
        <v>1</v>
      </c>
      <c r="V29" s="13">
        <f t="shared" si="39"/>
        <v>1</v>
      </c>
      <c r="W29" s="13">
        <f>IF(F29="","",IF(F29=Q29,1,0))</f>
        <v>1</v>
      </c>
      <c r="X29" s="42">
        <f t="shared" si="40"/>
        <v>1</v>
      </c>
      <c r="Y29" s="40"/>
      <c r="Z29" s="14" t="s">
        <v>5</v>
      </c>
      <c r="AA29" s="15">
        <f t="shared" ref="AA29:AA31" si="46">$C$2</f>
        <v>192</v>
      </c>
      <c r="AB29" s="22">
        <v>168</v>
      </c>
      <c r="AC29" s="23">
        <v>100</v>
      </c>
      <c r="AD29" s="24">
        <v>65</v>
      </c>
      <c r="AE29" s="48">
        <f t="shared" si="41"/>
        <v>3</v>
      </c>
      <c r="AH29" s="10" t="s">
        <v>21</v>
      </c>
      <c r="AI29" s="26">
        <v>16</v>
      </c>
      <c r="AJ29" s="47">
        <f t="shared" si="36"/>
        <v>1</v>
      </c>
      <c r="AK29" s="11" t="s">
        <v>11</v>
      </c>
      <c r="AL29" s="12">
        <f>AA26</f>
        <v>192</v>
      </c>
      <c r="AM29" s="12">
        <f>AM28</f>
        <v>168</v>
      </c>
      <c r="AN29" s="12">
        <f>AN28</f>
        <v>100</v>
      </c>
      <c r="AO29" s="12">
        <f>AO28+1</f>
        <v>65</v>
      </c>
      <c r="AP29" s="12"/>
      <c r="AQ29" s="11" t="s">
        <v>16</v>
      </c>
      <c r="AR29" s="12">
        <f>256/2^IF(AR28&lt;8,AR28,IF(AR28&lt;16,AR28-8,IF(AR28&lt;24,AR28-16,AR28-24)))</f>
        <v>16</v>
      </c>
      <c r="AS29" s="13">
        <f t="shared" si="42"/>
        <v>1</v>
      </c>
      <c r="AT29" s="13">
        <f t="shared" si="43"/>
        <v>1</v>
      </c>
      <c r="AU29" s="13">
        <f>IF(AD29="","",IF(AD29=AO29,1,0))</f>
        <v>1</v>
      </c>
      <c r="AV29" s="13">
        <f t="shared" si="44"/>
        <v>1</v>
      </c>
    </row>
    <row r="30" spans="1:48" x14ac:dyDescent="0.35">
      <c r="A30" s="40"/>
      <c r="B30" s="14" t="s">
        <v>6</v>
      </c>
      <c r="C30" s="15">
        <f t="shared" si="45"/>
        <v>192</v>
      </c>
      <c r="D30" s="22">
        <v>168</v>
      </c>
      <c r="E30" s="23">
        <v>40</v>
      </c>
      <c r="F30" s="24">
        <v>78</v>
      </c>
      <c r="G30" s="48">
        <f t="shared" si="37"/>
        <v>3</v>
      </c>
      <c r="J30" s="10" t="s">
        <v>22</v>
      </c>
      <c r="K30" s="26">
        <v>16</v>
      </c>
      <c r="L30" s="47">
        <f t="shared" si="35"/>
        <v>1</v>
      </c>
      <c r="M30" s="11" t="s">
        <v>12</v>
      </c>
      <c r="N30" s="12">
        <f>C26</f>
        <v>192</v>
      </c>
      <c r="O30" s="12">
        <f>O31</f>
        <v>168</v>
      </c>
      <c r="P30" s="12">
        <f>P31</f>
        <v>40</v>
      </c>
      <c r="Q30" s="12">
        <f>Q31-1</f>
        <v>78</v>
      </c>
      <c r="R30" s="12"/>
      <c r="S30" s="11" t="s">
        <v>15</v>
      </c>
      <c r="T30" s="16">
        <f>2^T28</f>
        <v>16</v>
      </c>
      <c r="U30" s="13">
        <f t="shared" si="38"/>
        <v>1</v>
      </c>
      <c r="V30" s="13">
        <f t="shared" si="39"/>
        <v>1</v>
      </c>
      <c r="W30" s="13">
        <f>IF(F30="","",IF(F30=Q30,1,0))</f>
        <v>1</v>
      </c>
      <c r="X30" s="42">
        <f t="shared" si="40"/>
        <v>1</v>
      </c>
      <c r="Y30" s="40"/>
      <c r="Z30" s="14" t="s">
        <v>6</v>
      </c>
      <c r="AA30" s="15">
        <f t="shared" si="46"/>
        <v>192</v>
      </c>
      <c r="AB30" s="22">
        <v>168</v>
      </c>
      <c r="AC30" s="23">
        <v>100</v>
      </c>
      <c r="AD30" s="24">
        <v>78</v>
      </c>
      <c r="AE30" s="48">
        <f t="shared" si="41"/>
        <v>3</v>
      </c>
      <c r="AH30" s="10" t="s">
        <v>22</v>
      </c>
      <c r="AI30" s="26">
        <v>16</v>
      </c>
      <c r="AJ30" s="47">
        <f t="shared" si="36"/>
        <v>1</v>
      </c>
      <c r="AK30" s="11" t="s">
        <v>12</v>
      </c>
      <c r="AL30" s="12">
        <f>AA26</f>
        <v>192</v>
      </c>
      <c r="AM30" s="12">
        <f>AM31</f>
        <v>168</v>
      </c>
      <c r="AN30" s="12">
        <f>AN31</f>
        <v>100</v>
      </c>
      <c r="AO30" s="12">
        <f>AO31-1</f>
        <v>78</v>
      </c>
      <c r="AP30" s="12"/>
      <c r="AQ30" s="11" t="s">
        <v>15</v>
      </c>
      <c r="AR30" s="16">
        <f>2^AR28</f>
        <v>16</v>
      </c>
      <c r="AS30" s="13">
        <f t="shared" si="42"/>
        <v>1</v>
      </c>
      <c r="AT30" s="13">
        <f t="shared" si="43"/>
        <v>1</v>
      </c>
      <c r="AU30" s="13">
        <f>IF(AD30="","",IF(AD30=AO30,1,0))</f>
        <v>1</v>
      </c>
      <c r="AV30" s="13">
        <f t="shared" si="44"/>
        <v>1</v>
      </c>
    </row>
    <row r="31" spans="1:48" x14ac:dyDescent="0.35">
      <c r="A31" s="40"/>
      <c r="B31" s="14" t="s">
        <v>1</v>
      </c>
      <c r="C31" s="15">
        <f t="shared" si="45"/>
        <v>192</v>
      </c>
      <c r="D31" s="22">
        <v>168</v>
      </c>
      <c r="E31" s="23">
        <v>40</v>
      </c>
      <c r="F31" s="24">
        <v>79</v>
      </c>
      <c r="G31" s="48">
        <f t="shared" si="37"/>
        <v>3</v>
      </c>
      <c r="J31" s="10" t="s">
        <v>23</v>
      </c>
      <c r="K31" s="26">
        <v>14</v>
      </c>
      <c r="L31" s="47">
        <f t="shared" si="35"/>
        <v>1</v>
      </c>
      <c r="M31" s="11" t="s">
        <v>10</v>
      </c>
      <c r="N31" s="12">
        <f>C26</f>
        <v>192</v>
      </c>
      <c r="O31" s="12">
        <f>IF(O27=255,D26,O28+T29-1)</f>
        <v>168</v>
      </c>
      <c r="P31" s="12">
        <f>IF(P27=0,255,IF(P27=255,E26,P28+T29-1))</f>
        <v>40</v>
      </c>
      <c r="Q31" s="12">
        <f>IF(Q27=0,255,Q28+T29-1)</f>
        <v>79</v>
      </c>
      <c r="R31" s="12"/>
      <c r="S31" s="11" t="s">
        <v>17</v>
      </c>
      <c r="T31" s="12">
        <f>(2^(32-T27-T28))-2</f>
        <v>14</v>
      </c>
      <c r="U31" s="13">
        <f t="shared" si="38"/>
        <v>1</v>
      </c>
      <c r="V31" s="13">
        <f t="shared" si="39"/>
        <v>1</v>
      </c>
      <c r="W31" s="13">
        <f>IF(F31="","",IF(F31=Q31,1,0))</f>
        <v>1</v>
      </c>
      <c r="X31" s="42">
        <f t="shared" si="40"/>
        <v>1</v>
      </c>
      <c r="Y31" s="40"/>
      <c r="Z31" s="14" t="s">
        <v>1</v>
      </c>
      <c r="AA31" s="15">
        <f t="shared" si="46"/>
        <v>192</v>
      </c>
      <c r="AB31" s="22">
        <v>168</v>
      </c>
      <c r="AC31" s="23">
        <v>100</v>
      </c>
      <c r="AD31" s="24">
        <v>79</v>
      </c>
      <c r="AE31" s="48">
        <f t="shared" si="41"/>
        <v>3</v>
      </c>
      <c r="AH31" s="10" t="s">
        <v>23</v>
      </c>
      <c r="AI31" s="26">
        <v>14</v>
      </c>
      <c r="AJ31" s="47">
        <f t="shared" si="36"/>
        <v>1</v>
      </c>
      <c r="AK31" s="11" t="s">
        <v>10</v>
      </c>
      <c r="AL31" s="12">
        <f>AA26</f>
        <v>192</v>
      </c>
      <c r="AM31" s="12">
        <f>IF(AM27=255,AB26,AM28+AR29-1)</f>
        <v>168</v>
      </c>
      <c r="AN31" s="12">
        <f>IF(AN27=0,255,IF(AN27=255,AC26,AN28+AR29-1))</f>
        <v>100</v>
      </c>
      <c r="AO31" s="12">
        <f>IF(AO27=0,255,AO28+AR29-1)</f>
        <v>79</v>
      </c>
      <c r="AP31" s="12"/>
      <c r="AQ31" s="11" t="s">
        <v>17</v>
      </c>
      <c r="AR31" s="12">
        <f>(2^(32-AR27-AR28))-2</f>
        <v>14</v>
      </c>
      <c r="AS31" s="13">
        <f t="shared" si="42"/>
        <v>1</v>
      </c>
      <c r="AT31" s="13">
        <f t="shared" si="43"/>
        <v>1</v>
      </c>
      <c r="AU31" s="13">
        <f>IF(AD31="","",IF(AD31=AO31,1,0))</f>
        <v>1</v>
      </c>
      <c r="AV31" s="13">
        <f t="shared" si="44"/>
        <v>1</v>
      </c>
    </row>
    <row r="32" spans="1:48" x14ac:dyDescent="0.35">
      <c r="A32" s="41"/>
      <c r="B32" s="32"/>
      <c r="C32" s="29"/>
      <c r="D32" s="29"/>
      <c r="E32" s="30"/>
      <c r="F32" s="31"/>
      <c r="G32" s="28"/>
      <c r="H32" s="28"/>
      <c r="I32" s="28"/>
      <c r="J32" s="33"/>
      <c r="K32" s="28"/>
      <c r="L32" s="38"/>
      <c r="M32" s="45"/>
      <c r="N32" s="46"/>
      <c r="O32" s="46"/>
      <c r="P32" s="46"/>
      <c r="Q32" s="46"/>
      <c r="R32" s="46"/>
      <c r="S32" s="45"/>
      <c r="T32" s="46"/>
      <c r="U32" s="46"/>
      <c r="V32" s="46"/>
      <c r="W32" s="46"/>
      <c r="X32" s="46"/>
      <c r="Y32" s="41"/>
      <c r="Z32" s="32"/>
      <c r="AA32" s="29"/>
      <c r="AB32" s="29"/>
      <c r="AC32" s="30"/>
      <c r="AD32" s="31"/>
      <c r="AE32" s="28"/>
      <c r="AF32" s="28"/>
      <c r="AG32" s="28"/>
      <c r="AH32" s="33"/>
      <c r="AI32" s="28"/>
      <c r="AJ32" s="38"/>
      <c r="AK32" s="45"/>
      <c r="AL32" s="46"/>
      <c r="AM32" s="46"/>
      <c r="AN32" s="46"/>
      <c r="AO32" s="46"/>
      <c r="AP32" s="46"/>
      <c r="AQ32" s="45"/>
      <c r="AR32" s="46"/>
      <c r="AS32" s="46"/>
      <c r="AT32" s="46"/>
      <c r="AU32" s="46"/>
      <c r="AV32" s="46"/>
    </row>
    <row r="33" spans="1:48" x14ac:dyDescent="0.35">
      <c r="A33" s="40">
        <v>5</v>
      </c>
      <c r="C33" s="17"/>
      <c r="D33" s="17"/>
      <c r="E33" s="18"/>
      <c r="K33" s="50"/>
      <c r="L33" s="51">
        <f>IF(W34&lt;3,"",(SUM(G35:G39)+SUM(L34:L39))/21)</f>
        <v>1</v>
      </c>
      <c r="U33" s="12"/>
      <c r="V33" s="12"/>
      <c r="Y33" s="40">
        <v>11</v>
      </c>
      <c r="AA33" s="17"/>
      <c r="AB33" s="17"/>
      <c r="AC33" s="18"/>
      <c r="AD33" s="19"/>
      <c r="AI33" s="50"/>
      <c r="AJ33" s="51">
        <f>IF(AU34&lt;3,"",(SUM(AE35:AE39)+SUM(AJ34:AJ39))/21)</f>
        <v>1</v>
      </c>
      <c r="AS33" s="12"/>
      <c r="AT33" s="12"/>
    </row>
    <row r="34" spans="1:48" s="2" customFormat="1" x14ac:dyDescent="0.35">
      <c r="A34" s="40"/>
      <c r="B34" s="2" t="s">
        <v>2</v>
      </c>
      <c r="C34" s="3">
        <v>192</v>
      </c>
      <c r="D34" s="4">
        <v>168</v>
      </c>
      <c r="E34" s="5">
        <v>50</v>
      </c>
      <c r="F34" s="3">
        <v>219</v>
      </c>
      <c r="G34" s="6" t="s">
        <v>4</v>
      </c>
      <c r="H34" s="1">
        <v>29</v>
      </c>
      <c r="I34" s="1"/>
      <c r="J34" t="s">
        <v>24</v>
      </c>
      <c r="K34" s="25" t="s">
        <v>26</v>
      </c>
      <c r="L34" s="47">
        <f>IF(K34="","",IF(K34=T34,1,0))</f>
        <v>1</v>
      </c>
      <c r="S34" s="7" t="s">
        <v>13</v>
      </c>
      <c r="T34" s="8" t="str">
        <f>IF(C34&lt;128,"A",IF(C34&lt;192,"B","C"))</f>
        <v>C</v>
      </c>
      <c r="U34" s="53" t="s">
        <v>18</v>
      </c>
      <c r="V34" s="54"/>
      <c r="W34" s="53">
        <f>SUM(U35:X39)</f>
        <v>20</v>
      </c>
      <c r="X34" s="55"/>
      <c r="Y34" s="40"/>
      <c r="Z34" s="2" t="s">
        <v>2</v>
      </c>
      <c r="AA34" s="3">
        <v>192</v>
      </c>
      <c r="AB34" s="4">
        <v>168</v>
      </c>
      <c r="AC34" s="5">
        <v>110</v>
      </c>
      <c r="AD34" s="3">
        <v>25</v>
      </c>
      <c r="AE34" s="6" t="s">
        <v>4</v>
      </c>
      <c r="AF34" s="1">
        <v>29</v>
      </c>
      <c r="AG34" s="1"/>
      <c r="AH34" t="s">
        <v>24</v>
      </c>
      <c r="AI34" s="25" t="s">
        <v>26</v>
      </c>
      <c r="AJ34" s="47">
        <f>IF(AI34="","",IF(AI34=AR34,1,0))</f>
        <v>1</v>
      </c>
      <c r="AQ34" s="7" t="s">
        <v>13</v>
      </c>
      <c r="AR34" s="8" t="str">
        <f>IF(AA34&lt;128,"A",IF(AA34&lt;192,"B","C"))</f>
        <v>C</v>
      </c>
      <c r="AS34" s="53" t="s">
        <v>18</v>
      </c>
      <c r="AT34" s="54"/>
      <c r="AU34" s="53">
        <f>SUM(AS35:AV39)</f>
        <v>20</v>
      </c>
      <c r="AV34" s="54"/>
    </row>
    <row r="35" spans="1:48" x14ac:dyDescent="0.35">
      <c r="A35" s="40"/>
      <c r="B35" t="s">
        <v>3</v>
      </c>
      <c r="C35" s="9">
        <v>255</v>
      </c>
      <c r="D35" s="21">
        <v>255</v>
      </c>
      <c r="E35" s="21">
        <v>255</v>
      </c>
      <c r="F35" s="21">
        <v>248</v>
      </c>
      <c r="G35" s="48">
        <f>IF(D35="","",IF(E35="","",IF(F35="","",SUM(U35:W35))))</f>
        <v>3</v>
      </c>
      <c r="J35" s="10" t="s">
        <v>19</v>
      </c>
      <c r="K35" s="26">
        <v>24</v>
      </c>
      <c r="L35" s="47">
        <f t="shared" ref="L35:L39" si="47">IF(K35="","",IF(K35=T35,1,0))</f>
        <v>1</v>
      </c>
      <c r="M35" s="11" t="s">
        <v>8</v>
      </c>
      <c r="N35" s="12">
        <v>255</v>
      </c>
      <c r="O35" s="12">
        <f>IF(H34=8,0,IF(H34&gt;=16,255,256-T37))</f>
        <v>255</v>
      </c>
      <c r="P35" s="12">
        <f>IF(H34&lt;16,0,IF(H34&gt;=24,255,256-T37))</f>
        <v>255</v>
      </c>
      <c r="Q35" s="12">
        <f>IF(H34&gt;24,256-T37,0)</f>
        <v>248</v>
      </c>
      <c r="R35" s="12"/>
      <c r="S35" s="11" t="s">
        <v>14</v>
      </c>
      <c r="T35" s="12">
        <f>IF(T34="A",8,IF(T34="B",16,24))</f>
        <v>24</v>
      </c>
      <c r="U35" s="13">
        <f>IF(D35="","",IF(D35=O35,1,0))</f>
        <v>1</v>
      </c>
      <c r="V35" s="13">
        <f>IF(E35="","",IF(E35=P35,1,0))</f>
        <v>1</v>
      </c>
      <c r="W35" s="13">
        <f>IF(F35="","",IF(F35=Q35,1,0))</f>
        <v>1</v>
      </c>
      <c r="X35" s="42">
        <f>IF(K35="","",IF(K35=T35,1,0))</f>
        <v>1</v>
      </c>
      <c r="Y35" s="40"/>
      <c r="Z35" t="s">
        <v>3</v>
      </c>
      <c r="AA35" s="9">
        <v>255</v>
      </c>
      <c r="AB35" s="21">
        <v>255</v>
      </c>
      <c r="AC35" s="21">
        <v>255</v>
      </c>
      <c r="AD35" s="21">
        <v>248</v>
      </c>
      <c r="AE35" s="48">
        <f>IF(AB35="","",IF(AC35="","",IF(AD35="","",SUM(AS35:AU35))))</f>
        <v>3</v>
      </c>
      <c r="AH35" s="10" t="s">
        <v>19</v>
      </c>
      <c r="AI35" s="26">
        <v>24</v>
      </c>
      <c r="AJ35" s="47">
        <f t="shared" ref="AJ35:AJ39" si="48">IF(AI35="","",IF(AI35=AR35,1,0))</f>
        <v>1</v>
      </c>
      <c r="AK35" s="11" t="s">
        <v>8</v>
      </c>
      <c r="AL35" s="12">
        <v>255</v>
      </c>
      <c r="AM35" s="12">
        <f>IF(AF34=8,0,IF(AF34&gt;=16,255,256-AR37))</f>
        <v>255</v>
      </c>
      <c r="AN35" s="12">
        <f>IF(AF34&lt;16,0,IF(AF34&gt;=24,255,256-AR37))</f>
        <v>255</v>
      </c>
      <c r="AO35" s="12">
        <f>IF(AF34&gt;24,256-AR37,0)</f>
        <v>248</v>
      </c>
      <c r="AP35" s="12"/>
      <c r="AQ35" s="11" t="s">
        <v>14</v>
      </c>
      <c r="AR35" s="12">
        <f>IF(AR34="A",8,IF(AR34="B",16,24))</f>
        <v>24</v>
      </c>
      <c r="AS35" s="13">
        <f>IF(AB35="","",IF(AB35=AM35,1,0))</f>
        <v>1</v>
      </c>
      <c r="AT35" s="13">
        <f>IF(AC35="","",IF(AC35=AN35,1,0))</f>
        <v>1</v>
      </c>
      <c r="AU35" s="13">
        <f>IF(AD35="","",IF(AD35=AO35,1,0))</f>
        <v>1</v>
      </c>
      <c r="AV35" s="13">
        <f>IF(AI35="","",IF(AI35=AR35,1,0))</f>
        <v>1</v>
      </c>
    </row>
    <row r="36" spans="1:48" x14ac:dyDescent="0.35">
      <c r="A36" s="40"/>
      <c r="B36" s="14" t="s">
        <v>0</v>
      </c>
      <c r="C36" s="15">
        <f>$C$2</f>
        <v>192</v>
      </c>
      <c r="D36" s="22">
        <v>168</v>
      </c>
      <c r="E36" s="23">
        <v>50</v>
      </c>
      <c r="F36" s="24">
        <v>216</v>
      </c>
      <c r="G36" s="48">
        <f t="shared" ref="G36:G39" si="49">IF(D36="","",IF(E36="","",IF(F36="","",SUM(U36:W36))))</f>
        <v>3</v>
      </c>
      <c r="J36" s="10" t="s">
        <v>20</v>
      </c>
      <c r="K36" s="26">
        <v>5</v>
      </c>
      <c r="L36" s="47">
        <f t="shared" si="47"/>
        <v>1</v>
      </c>
      <c r="M36" s="11" t="s">
        <v>9</v>
      </c>
      <c r="N36" s="12">
        <f>C34</f>
        <v>192</v>
      </c>
      <c r="O36" s="12">
        <f>IF(O35=0,0,IF(O35=255,D34,T37*(INT(D34/T37))))</f>
        <v>168</v>
      </c>
      <c r="P36" s="12">
        <f>IF(P35=0,0,IF(P35=255,E34,T37*(INT(E34/T37))))</f>
        <v>50</v>
      </c>
      <c r="Q36" s="12">
        <f>IF(Q35=0,0,T37*(INT(F34/T37)))</f>
        <v>216</v>
      </c>
      <c r="R36" s="12"/>
      <c r="S36" s="11" t="s">
        <v>7</v>
      </c>
      <c r="T36" s="12">
        <f>H34-T35</f>
        <v>5</v>
      </c>
      <c r="U36" s="13">
        <f t="shared" ref="U36:U39" si="50">IF(D36="","",IF(D36=O36,1,0))</f>
        <v>1</v>
      </c>
      <c r="V36" s="13">
        <f t="shared" ref="V36:V39" si="51">IF(E36="","",IF(E36=P36,1,0))</f>
        <v>1</v>
      </c>
      <c r="W36" s="13">
        <f>IF(F36="","",IF(F36=Q36,1,0))</f>
        <v>1</v>
      </c>
      <c r="X36" s="42">
        <f t="shared" ref="X36:X39" si="52">IF(K36="","",IF(K36=T36,1,0))</f>
        <v>1</v>
      </c>
      <c r="Y36" s="40"/>
      <c r="Z36" s="14" t="s">
        <v>0</v>
      </c>
      <c r="AA36" s="15">
        <f>$C$2</f>
        <v>192</v>
      </c>
      <c r="AB36" s="22">
        <v>168</v>
      </c>
      <c r="AC36" s="23">
        <v>110</v>
      </c>
      <c r="AD36" s="24">
        <v>24</v>
      </c>
      <c r="AE36" s="48">
        <f t="shared" ref="AE36:AE39" si="53">IF(AB36="","",IF(AC36="","",IF(AD36="","",SUM(AS36:AU36))))</f>
        <v>3</v>
      </c>
      <c r="AH36" s="10" t="s">
        <v>20</v>
      </c>
      <c r="AI36" s="26">
        <v>5</v>
      </c>
      <c r="AJ36" s="47">
        <f t="shared" si="48"/>
        <v>1</v>
      </c>
      <c r="AK36" s="11" t="s">
        <v>9</v>
      </c>
      <c r="AL36" s="12">
        <f>AA34</f>
        <v>192</v>
      </c>
      <c r="AM36" s="12">
        <f>IF(AM35=0,0,IF(AM35=255,AB34,AR37*(INT(AB34/AR37))))</f>
        <v>168</v>
      </c>
      <c r="AN36" s="12">
        <f>IF(AN35=0,0,IF(AN35=255,AC34,AR37*(INT(AC34/AR37))))</f>
        <v>110</v>
      </c>
      <c r="AO36" s="12">
        <f>IF(AO35=0,0,AR37*(INT(AD34/AR37)))</f>
        <v>24</v>
      </c>
      <c r="AP36" s="12"/>
      <c r="AQ36" s="11" t="s">
        <v>7</v>
      </c>
      <c r="AR36" s="12">
        <f>AF34-AR35</f>
        <v>5</v>
      </c>
      <c r="AS36" s="13">
        <f t="shared" ref="AS36:AS39" si="54">IF(AB36="","",IF(AB36=AM36,1,0))</f>
        <v>1</v>
      </c>
      <c r="AT36" s="13">
        <f t="shared" ref="AT36:AT39" si="55">IF(AC36="","",IF(AC36=AN36,1,0))</f>
        <v>1</v>
      </c>
      <c r="AU36" s="13">
        <f>IF(AD36="","",IF(AD36=AO36,1,0))</f>
        <v>1</v>
      </c>
      <c r="AV36" s="13">
        <f t="shared" ref="AV36:AV39" si="56">IF(AI36="","",IF(AI36=AR36,1,0))</f>
        <v>1</v>
      </c>
    </row>
    <row r="37" spans="1:48" x14ac:dyDescent="0.35">
      <c r="A37" s="40"/>
      <c r="B37" s="14" t="s">
        <v>5</v>
      </c>
      <c r="C37" s="15">
        <f t="shared" ref="C37:C39" si="57">$C$2</f>
        <v>192</v>
      </c>
      <c r="D37" s="22">
        <v>168</v>
      </c>
      <c r="E37" s="23">
        <v>50</v>
      </c>
      <c r="F37" s="24">
        <v>217</v>
      </c>
      <c r="G37" s="48">
        <f t="shared" si="49"/>
        <v>3</v>
      </c>
      <c r="J37" s="10" t="s">
        <v>21</v>
      </c>
      <c r="K37" s="26">
        <v>8</v>
      </c>
      <c r="L37" s="47">
        <f t="shared" si="47"/>
        <v>1</v>
      </c>
      <c r="M37" s="11" t="s">
        <v>11</v>
      </c>
      <c r="N37" s="12">
        <f>C34</f>
        <v>192</v>
      </c>
      <c r="O37" s="12">
        <f>O36</f>
        <v>168</v>
      </c>
      <c r="P37" s="12">
        <f>P36</f>
        <v>50</v>
      </c>
      <c r="Q37" s="12">
        <f>Q36+1</f>
        <v>217</v>
      </c>
      <c r="R37" s="12"/>
      <c r="S37" s="11" t="s">
        <v>16</v>
      </c>
      <c r="T37" s="12">
        <f>256/2^IF(T36&lt;8,T36,IF(T36&lt;16,T36-8,IF(T36&lt;24,T36-16,T36-24)))</f>
        <v>8</v>
      </c>
      <c r="U37" s="13">
        <f t="shared" si="50"/>
        <v>1</v>
      </c>
      <c r="V37" s="13">
        <f t="shared" si="51"/>
        <v>1</v>
      </c>
      <c r="W37" s="13">
        <f>IF(F37="","",IF(F37=Q37,1,0))</f>
        <v>1</v>
      </c>
      <c r="X37" s="42">
        <f t="shared" si="52"/>
        <v>1</v>
      </c>
      <c r="Y37" s="40"/>
      <c r="Z37" s="14" t="s">
        <v>5</v>
      </c>
      <c r="AA37" s="15">
        <f t="shared" ref="AA37:AA39" si="58">$C$2</f>
        <v>192</v>
      </c>
      <c r="AB37" s="22">
        <v>168</v>
      </c>
      <c r="AC37" s="23">
        <v>110</v>
      </c>
      <c r="AD37" s="24">
        <v>25</v>
      </c>
      <c r="AE37" s="48">
        <f t="shared" si="53"/>
        <v>3</v>
      </c>
      <c r="AH37" s="10" t="s">
        <v>21</v>
      </c>
      <c r="AI37" s="26">
        <v>8</v>
      </c>
      <c r="AJ37" s="47">
        <f t="shared" si="48"/>
        <v>1</v>
      </c>
      <c r="AK37" s="11" t="s">
        <v>11</v>
      </c>
      <c r="AL37" s="12">
        <f>AA34</f>
        <v>192</v>
      </c>
      <c r="AM37" s="12">
        <f>AM36</f>
        <v>168</v>
      </c>
      <c r="AN37" s="12">
        <f>AN36</f>
        <v>110</v>
      </c>
      <c r="AO37" s="12">
        <f>AO36+1</f>
        <v>25</v>
      </c>
      <c r="AP37" s="12"/>
      <c r="AQ37" s="11" t="s">
        <v>16</v>
      </c>
      <c r="AR37" s="12">
        <f>256/2^IF(AR36&lt;8,AR36,IF(AR36&lt;16,AR36-8,IF(AR36&lt;24,AR36-16,AR36-24)))</f>
        <v>8</v>
      </c>
      <c r="AS37" s="13">
        <f t="shared" si="54"/>
        <v>1</v>
      </c>
      <c r="AT37" s="13">
        <f t="shared" si="55"/>
        <v>1</v>
      </c>
      <c r="AU37" s="13">
        <f>IF(AD37="","",IF(AD37=AO37,1,0))</f>
        <v>1</v>
      </c>
      <c r="AV37" s="13">
        <f t="shared" si="56"/>
        <v>1</v>
      </c>
    </row>
    <row r="38" spans="1:48" x14ac:dyDescent="0.35">
      <c r="A38" s="40"/>
      <c r="B38" s="14" t="s">
        <v>6</v>
      </c>
      <c r="C38" s="15">
        <f t="shared" si="57"/>
        <v>192</v>
      </c>
      <c r="D38" s="22">
        <v>168</v>
      </c>
      <c r="E38" s="23">
        <v>50</v>
      </c>
      <c r="F38" s="24">
        <v>222</v>
      </c>
      <c r="G38" s="48">
        <f t="shared" si="49"/>
        <v>3</v>
      </c>
      <c r="J38" s="10" t="s">
        <v>22</v>
      </c>
      <c r="K38" s="26">
        <v>32</v>
      </c>
      <c r="L38" s="47">
        <f t="shared" si="47"/>
        <v>1</v>
      </c>
      <c r="M38" s="11" t="s">
        <v>12</v>
      </c>
      <c r="N38" s="12">
        <f>C34</f>
        <v>192</v>
      </c>
      <c r="O38" s="12">
        <f>O39</f>
        <v>168</v>
      </c>
      <c r="P38" s="12">
        <f>P39</f>
        <v>50</v>
      </c>
      <c r="Q38" s="12">
        <f>Q39-1</f>
        <v>222</v>
      </c>
      <c r="R38" s="12"/>
      <c r="S38" s="11" t="s">
        <v>15</v>
      </c>
      <c r="T38" s="16">
        <f>2^T36</f>
        <v>32</v>
      </c>
      <c r="U38" s="13">
        <f t="shared" si="50"/>
        <v>1</v>
      </c>
      <c r="V38" s="13">
        <f t="shared" si="51"/>
        <v>1</v>
      </c>
      <c r="W38" s="13">
        <f>IF(F38="","",IF(F38=Q38,1,0))</f>
        <v>1</v>
      </c>
      <c r="X38" s="42">
        <f t="shared" si="52"/>
        <v>1</v>
      </c>
      <c r="Y38" s="40"/>
      <c r="Z38" s="14" t="s">
        <v>6</v>
      </c>
      <c r="AA38" s="15">
        <f t="shared" si="58"/>
        <v>192</v>
      </c>
      <c r="AB38" s="22">
        <v>168</v>
      </c>
      <c r="AC38" s="23">
        <v>110</v>
      </c>
      <c r="AD38" s="24">
        <v>30</v>
      </c>
      <c r="AE38" s="48">
        <f t="shared" si="53"/>
        <v>3</v>
      </c>
      <c r="AH38" s="10" t="s">
        <v>22</v>
      </c>
      <c r="AI38" s="26">
        <v>32</v>
      </c>
      <c r="AJ38" s="47">
        <f t="shared" si="48"/>
        <v>1</v>
      </c>
      <c r="AK38" s="11" t="s">
        <v>12</v>
      </c>
      <c r="AL38" s="12">
        <f>AA34</f>
        <v>192</v>
      </c>
      <c r="AM38" s="12">
        <f>AM39</f>
        <v>168</v>
      </c>
      <c r="AN38" s="12">
        <f>AN39</f>
        <v>110</v>
      </c>
      <c r="AO38" s="12">
        <f>AO39-1</f>
        <v>30</v>
      </c>
      <c r="AP38" s="12"/>
      <c r="AQ38" s="11" t="s">
        <v>15</v>
      </c>
      <c r="AR38" s="16">
        <f>2^AR36</f>
        <v>32</v>
      </c>
      <c r="AS38" s="13">
        <f t="shared" si="54"/>
        <v>1</v>
      </c>
      <c r="AT38" s="13">
        <f t="shared" si="55"/>
        <v>1</v>
      </c>
      <c r="AU38" s="13">
        <f>IF(AD38="","",IF(AD38=AO38,1,0))</f>
        <v>1</v>
      </c>
      <c r="AV38" s="13">
        <f t="shared" si="56"/>
        <v>1</v>
      </c>
    </row>
    <row r="39" spans="1:48" x14ac:dyDescent="0.35">
      <c r="A39" s="40"/>
      <c r="B39" s="14" t="s">
        <v>1</v>
      </c>
      <c r="C39" s="15">
        <f t="shared" si="57"/>
        <v>192</v>
      </c>
      <c r="D39" s="22">
        <v>168</v>
      </c>
      <c r="E39" s="23">
        <v>50</v>
      </c>
      <c r="F39" s="24">
        <v>223</v>
      </c>
      <c r="G39" s="48">
        <f t="shared" si="49"/>
        <v>3</v>
      </c>
      <c r="J39" s="10" t="s">
        <v>23</v>
      </c>
      <c r="K39" s="26">
        <v>6</v>
      </c>
      <c r="L39" s="47">
        <f t="shared" si="47"/>
        <v>1</v>
      </c>
      <c r="M39" s="11" t="s">
        <v>10</v>
      </c>
      <c r="N39" s="12">
        <f>C34</f>
        <v>192</v>
      </c>
      <c r="O39" s="12">
        <f>IF(O35=255,D34,O36+T37-1)</f>
        <v>168</v>
      </c>
      <c r="P39" s="12">
        <f>IF(P35=0,255,IF(P35=255,E34,P36+T37-1))</f>
        <v>50</v>
      </c>
      <c r="Q39" s="12">
        <f>IF(Q35=0,255,Q36+T37-1)</f>
        <v>223</v>
      </c>
      <c r="R39" s="12"/>
      <c r="S39" s="11" t="s">
        <v>17</v>
      </c>
      <c r="T39" s="12">
        <f>(2^(32-T35-T36))-2</f>
        <v>6</v>
      </c>
      <c r="U39" s="13">
        <f t="shared" si="50"/>
        <v>1</v>
      </c>
      <c r="V39" s="13">
        <f t="shared" si="51"/>
        <v>1</v>
      </c>
      <c r="W39" s="13">
        <f>IF(F39="","",IF(F39=Q39,1,0))</f>
        <v>1</v>
      </c>
      <c r="X39" s="42">
        <f t="shared" si="52"/>
        <v>1</v>
      </c>
      <c r="Y39" s="40"/>
      <c r="Z39" s="14" t="s">
        <v>1</v>
      </c>
      <c r="AA39" s="15">
        <f t="shared" si="58"/>
        <v>192</v>
      </c>
      <c r="AB39" s="22">
        <v>168</v>
      </c>
      <c r="AC39" s="23">
        <v>110</v>
      </c>
      <c r="AD39" s="24">
        <v>31</v>
      </c>
      <c r="AE39" s="48">
        <f t="shared" si="53"/>
        <v>3</v>
      </c>
      <c r="AH39" s="10" t="s">
        <v>23</v>
      </c>
      <c r="AI39" s="26">
        <v>6</v>
      </c>
      <c r="AJ39" s="47">
        <f t="shared" si="48"/>
        <v>1</v>
      </c>
      <c r="AK39" s="11" t="s">
        <v>10</v>
      </c>
      <c r="AL39" s="12">
        <f>AA34</f>
        <v>192</v>
      </c>
      <c r="AM39" s="12">
        <f>IF(AM35=255,AB34,AM36+AR37-1)</f>
        <v>168</v>
      </c>
      <c r="AN39" s="12">
        <f>IF(AN35=0,255,IF(AN35=255,AC34,AN36+AR37-1))</f>
        <v>110</v>
      </c>
      <c r="AO39" s="12">
        <f>IF(AO35=0,255,AO36+AR37-1)</f>
        <v>31</v>
      </c>
      <c r="AP39" s="12"/>
      <c r="AQ39" s="11" t="s">
        <v>17</v>
      </c>
      <c r="AR39" s="12">
        <f>(2^(32-AR35-AR36))-2</f>
        <v>6</v>
      </c>
      <c r="AS39" s="13">
        <f t="shared" si="54"/>
        <v>1</v>
      </c>
      <c r="AT39" s="13">
        <f t="shared" si="55"/>
        <v>1</v>
      </c>
      <c r="AU39" s="13">
        <f>IF(AD39="","",IF(AD39=AO39,1,0))</f>
        <v>1</v>
      </c>
      <c r="AV39" s="13">
        <f t="shared" si="56"/>
        <v>1</v>
      </c>
    </row>
    <row r="40" spans="1:48" x14ac:dyDescent="0.35">
      <c r="A40" s="40"/>
      <c r="B40" s="14"/>
      <c r="C40" s="17"/>
      <c r="D40" s="17"/>
      <c r="E40" s="18"/>
      <c r="J40" s="10"/>
      <c r="L40" s="37"/>
      <c r="M40" s="11"/>
      <c r="N40" s="12"/>
      <c r="O40" s="12"/>
      <c r="P40" s="12"/>
      <c r="Q40" s="12"/>
      <c r="R40" s="12"/>
      <c r="S40" s="11"/>
      <c r="T40" s="12"/>
      <c r="U40" s="12"/>
      <c r="V40" s="12"/>
      <c r="W40" s="12"/>
      <c r="X40" s="12"/>
      <c r="Y40" s="40"/>
      <c r="Z40" s="14"/>
      <c r="AA40" s="17"/>
      <c r="AB40" s="17"/>
      <c r="AC40" s="18"/>
      <c r="AD40" s="19"/>
      <c r="AH40" s="10"/>
      <c r="AJ40" s="37"/>
      <c r="AK40" s="45"/>
      <c r="AL40" s="46"/>
      <c r="AM40" s="46"/>
      <c r="AN40" s="46"/>
      <c r="AO40" s="46"/>
      <c r="AP40" s="46"/>
      <c r="AQ40" s="45"/>
      <c r="AR40" s="46"/>
      <c r="AS40" s="46"/>
      <c r="AT40" s="46"/>
      <c r="AU40" s="46"/>
      <c r="AV40" s="46"/>
    </row>
    <row r="41" spans="1:48" x14ac:dyDescent="0.35">
      <c r="A41" s="39">
        <v>6</v>
      </c>
      <c r="B41" s="27"/>
      <c r="C41" s="34"/>
      <c r="D41" s="34"/>
      <c r="E41" s="35"/>
      <c r="F41" s="36"/>
      <c r="G41" s="27"/>
      <c r="H41" s="27"/>
      <c r="I41" s="27"/>
      <c r="J41" s="27"/>
      <c r="K41" s="50"/>
      <c r="L41" s="51">
        <f>IF(W42&lt;3,"",(SUM(G43:G47)+SUM(L42:L47))/21)</f>
        <v>1</v>
      </c>
      <c r="M41" s="27"/>
      <c r="N41" s="27"/>
      <c r="O41" s="27"/>
      <c r="P41" s="27"/>
      <c r="Q41" s="27"/>
      <c r="R41" s="27"/>
      <c r="S41" s="27"/>
      <c r="T41" s="27"/>
      <c r="U41" s="44"/>
      <c r="V41" s="44"/>
      <c r="W41" s="27"/>
      <c r="X41" s="27"/>
      <c r="Y41" s="39">
        <v>12</v>
      </c>
      <c r="Z41" s="27"/>
      <c r="AA41" s="34"/>
      <c r="AB41" s="34"/>
      <c r="AC41" s="35"/>
      <c r="AD41" s="36"/>
      <c r="AE41" s="27"/>
      <c r="AF41" s="27"/>
      <c r="AG41" s="27"/>
      <c r="AH41" s="27"/>
      <c r="AI41" s="50"/>
      <c r="AJ41" s="51">
        <f>IF(AU42&lt;3,"",(SUM(AE43:AE47)+SUM(AJ42:AJ47))/21)</f>
        <v>1</v>
      </c>
      <c r="AS41" s="12"/>
      <c r="AT41" s="12"/>
    </row>
    <row r="42" spans="1:48" s="2" customFormat="1" x14ac:dyDescent="0.35">
      <c r="A42" s="40"/>
      <c r="B42" s="2" t="s">
        <v>2</v>
      </c>
      <c r="C42" s="3">
        <v>192</v>
      </c>
      <c r="D42" s="4">
        <v>168</v>
      </c>
      <c r="E42" s="5">
        <v>60</v>
      </c>
      <c r="F42" s="3">
        <v>250</v>
      </c>
      <c r="G42" s="6" t="s">
        <v>4</v>
      </c>
      <c r="H42" s="1">
        <v>30</v>
      </c>
      <c r="I42" s="1"/>
      <c r="J42" t="s">
        <v>24</v>
      </c>
      <c r="K42" s="25" t="s">
        <v>26</v>
      </c>
      <c r="L42" s="47">
        <f>IF(K42="","",IF(K42=T42,1,0))</f>
        <v>1</v>
      </c>
      <c r="S42" s="7" t="s">
        <v>13</v>
      </c>
      <c r="T42" s="8" t="str">
        <f>IF(C42&lt;128,"A",IF(C42&lt;192,"B","C"))</f>
        <v>C</v>
      </c>
      <c r="U42" s="53" t="s">
        <v>18</v>
      </c>
      <c r="V42" s="54"/>
      <c r="W42" s="53">
        <f>SUM(U43:X47)</f>
        <v>20</v>
      </c>
      <c r="X42" s="55"/>
      <c r="Y42" s="40"/>
      <c r="Z42" s="2" t="s">
        <v>2</v>
      </c>
      <c r="AA42" s="3">
        <v>192</v>
      </c>
      <c r="AB42" s="4">
        <v>168</v>
      </c>
      <c r="AC42" s="5">
        <v>120</v>
      </c>
      <c r="AD42" s="3">
        <v>18</v>
      </c>
      <c r="AE42" s="6" t="s">
        <v>4</v>
      </c>
      <c r="AF42" s="1">
        <v>30</v>
      </c>
      <c r="AG42" s="1"/>
      <c r="AH42" t="s">
        <v>24</v>
      </c>
      <c r="AI42" s="25" t="s">
        <v>26</v>
      </c>
      <c r="AJ42" s="47">
        <f>IF(AI42="","",IF(AI42=AR42,1,0))</f>
        <v>1</v>
      </c>
      <c r="AQ42" s="7" t="s">
        <v>13</v>
      </c>
      <c r="AR42" s="8" t="str">
        <f>IF(AA42&lt;128,"A",IF(AA42&lt;192,"B","C"))</f>
        <v>C</v>
      </c>
      <c r="AS42" s="53" t="s">
        <v>18</v>
      </c>
      <c r="AT42" s="54"/>
      <c r="AU42" s="53">
        <f>SUM(AS43:AV47)</f>
        <v>20</v>
      </c>
      <c r="AV42" s="54"/>
    </row>
    <row r="43" spans="1:48" x14ac:dyDescent="0.35">
      <c r="A43" s="40"/>
      <c r="B43" t="s">
        <v>3</v>
      </c>
      <c r="C43" s="9">
        <v>255</v>
      </c>
      <c r="D43" s="21">
        <v>255</v>
      </c>
      <c r="E43" s="21">
        <v>255</v>
      </c>
      <c r="F43" s="21">
        <v>252</v>
      </c>
      <c r="G43" s="48">
        <f>IF(D43="","",IF(E43="","",IF(F43="","",SUM(U43:W43))))</f>
        <v>3</v>
      </c>
      <c r="J43" s="10" t="s">
        <v>19</v>
      </c>
      <c r="K43" s="26">
        <v>24</v>
      </c>
      <c r="L43" s="47">
        <f t="shared" ref="L43:L47" si="59">IF(K43="","",IF(K43=T43,1,0))</f>
        <v>1</v>
      </c>
      <c r="M43" s="11" t="s">
        <v>8</v>
      </c>
      <c r="N43" s="12">
        <v>255</v>
      </c>
      <c r="O43" s="12">
        <f>IF(H42=8,0,IF(H42&gt;=16,255,256-T45))</f>
        <v>255</v>
      </c>
      <c r="P43" s="12">
        <f>IF(H42&lt;16,0,IF(H42&gt;=24,255,256-T45))</f>
        <v>255</v>
      </c>
      <c r="Q43" s="12">
        <f>IF(H42&gt;24,256-T45,0)</f>
        <v>252</v>
      </c>
      <c r="R43" s="12"/>
      <c r="S43" s="11" t="s">
        <v>14</v>
      </c>
      <c r="T43" s="12">
        <f>IF(T42="A",8,IF(T42="B",16,24))</f>
        <v>24</v>
      </c>
      <c r="U43" s="13">
        <f>IF(D43="","",IF(D43=O43,1,0))</f>
        <v>1</v>
      </c>
      <c r="V43" s="13">
        <f>IF(E43="","",IF(E43=P43,1,0))</f>
        <v>1</v>
      </c>
      <c r="W43" s="13">
        <f>IF(F43="","",IF(F43=Q43,1,0))</f>
        <v>1</v>
      </c>
      <c r="X43" s="42">
        <f>IF(K43="","",IF(K43=T43,1,0))</f>
        <v>1</v>
      </c>
      <c r="Y43" s="40"/>
      <c r="Z43" t="s">
        <v>3</v>
      </c>
      <c r="AA43" s="9">
        <v>255</v>
      </c>
      <c r="AB43" s="21">
        <v>255</v>
      </c>
      <c r="AC43" s="21">
        <v>255</v>
      </c>
      <c r="AD43" s="21">
        <v>252</v>
      </c>
      <c r="AE43" s="48">
        <f>IF(AB43="","",IF(AC43="","",IF(AD43="","",SUM(AS43:AU43))))</f>
        <v>3</v>
      </c>
      <c r="AH43" s="10" t="s">
        <v>19</v>
      </c>
      <c r="AI43" s="26">
        <v>24</v>
      </c>
      <c r="AJ43" s="47">
        <f t="shared" ref="AJ43:AJ47" si="60">IF(AI43="","",IF(AI43=AR43,1,0))</f>
        <v>1</v>
      </c>
      <c r="AK43" s="11" t="s">
        <v>8</v>
      </c>
      <c r="AL43" s="12">
        <v>255</v>
      </c>
      <c r="AM43" s="12">
        <f>IF(AF42=8,0,IF(AF42&gt;=16,255,256-AR45))</f>
        <v>255</v>
      </c>
      <c r="AN43" s="12">
        <f>IF(AF42&lt;16,0,IF(AF42&gt;=24,255,256-AR45))</f>
        <v>255</v>
      </c>
      <c r="AO43" s="12">
        <f>IF(AF42&gt;24,256-AR45,0)</f>
        <v>252</v>
      </c>
      <c r="AP43" s="12"/>
      <c r="AQ43" s="11" t="s">
        <v>14</v>
      </c>
      <c r="AR43" s="12">
        <f>IF(AR42="A",8,IF(AR42="B",16,24))</f>
        <v>24</v>
      </c>
      <c r="AS43" s="13">
        <f>IF(AB43="","",IF(AB43=AM43,1,0))</f>
        <v>1</v>
      </c>
      <c r="AT43" s="13">
        <f>IF(AC43="","",IF(AC43=AN43,1,0))</f>
        <v>1</v>
      </c>
      <c r="AU43" s="13">
        <f>IF(AD43="","",IF(AD43=AO43,1,0))</f>
        <v>1</v>
      </c>
      <c r="AV43" s="13">
        <f>IF(AI43="","",IF(AI43=AR43,1,0))</f>
        <v>1</v>
      </c>
    </row>
    <row r="44" spans="1:48" x14ac:dyDescent="0.35">
      <c r="A44" s="40"/>
      <c r="B44" s="14" t="s">
        <v>0</v>
      </c>
      <c r="C44" s="15">
        <f>$C$2</f>
        <v>192</v>
      </c>
      <c r="D44" s="22">
        <v>168</v>
      </c>
      <c r="E44" s="23">
        <v>60</v>
      </c>
      <c r="F44" s="24">
        <v>248</v>
      </c>
      <c r="G44" s="48">
        <f t="shared" ref="G44:G47" si="61">IF(D44="","",IF(E44="","",IF(F44="","",SUM(U44:W44))))</f>
        <v>3</v>
      </c>
      <c r="J44" s="10" t="s">
        <v>20</v>
      </c>
      <c r="K44" s="26">
        <v>6</v>
      </c>
      <c r="L44" s="47">
        <f t="shared" si="59"/>
        <v>1</v>
      </c>
      <c r="M44" s="11" t="s">
        <v>9</v>
      </c>
      <c r="N44" s="12">
        <f>C42</f>
        <v>192</v>
      </c>
      <c r="O44" s="12">
        <f>IF(O43=0,0,IF(O43=255,D42,T45*(INT(D42/T45))))</f>
        <v>168</v>
      </c>
      <c r="P44" s="12">
        <f>IF(P43=0,0,IF(P43=255,E42,T45*(INT(E42/T45))))</f>
        <v>60</v>
      </c>
      <c r="Q44" s="12">
        <f>IF(Q43=0,0,T45*(INT(F42/T45)))</f>
        <v>248</v>
      </c>
      <c r="R44" s="12"/>
      <c r="S44" s="11" t="s">
        <v>7</v>
      </c>
      <c r="T44" s="12">
        <f>H42-T43</f>
        <v>6</v>
      </c>
      <c r="U44" s="13">
        <f t="shared" ref="U44:U47" si="62">IF(D44="","",IF(D44=O44,1,0))</f>
        <v>1</v>
      </c>
      <c r="V44" s="13">
        <f t="shared" ref="V44:V47" si="63">IF(E44="","",IF(E44=P44,1,0))</f>
        <v>1</v>
      </c>
      <c r="W44" s="13">
        <f>IF(F44="","",IF(F44=Q44,1,0))</f>
        <v>1</v>
      </c>
      <c r="X44" s="42">
        <f t="shared" ref="X44:X47" si="64">IF(K44="","",IF(K44=T44,1,0))</f>
        <v>1</v>
      </c>
      <c r="Y44" s="40"/>
      <c r="Z44" s="14" t="s">
        <v>0</v>
      </c>
      <c r="AA44" s="15">
        <f>$C$2</f>
        <v>192</v>
      </c>
      <c r="AB44" s="22">
        <v>168</v>
      </c>
      <c r="AC44" s="23">
        <v>120</v>
      </c>
      <c r="AD44" s="24">
        <v>16</v>
      </c>
      <c r="AE44" s="48">
        <f t="shared" ref="AE44:AE47" si="65">IF(AB44="","",IF(AC44="","",IF(AD44="","",SUM(AS44:AU44))))</f>
        <v>3</v>
      </c>
      <c r="AH44" s="10" t="s">
        <v>20</v>
      </c>
      <c r="AI44" s="26">
        <v>6</v>
      </c>
      <c r="AJ44" s="47">
        <f t="shared" si="60"/>
        <v>1</v>
      </c>
      <c r="AK44" s="11" t="s">
        <v>9</v>
      </c>
      <c r="AL44" s="12">
        <f>AA42</f>
        <v>192</v>
      </c>
      <c r="AM44" s="12">
        <f>IF(AM43=0,0,IF(AM43=255,AB42,AR45*(INT(AB42/AR45))))</f>
        <v>168</v>
      </c>
      <c r="AN44" s="12">
        <f>IF(AN43=0,0,IF(AN43=255,AC42,AR45*(INT(AC42/AR45))))</f>
        <v>120</v>
      </c>
      <c r="AO44" s="12">
        <f>IF(AO43=0,0,AR45*(INT(AD42/AR45)))</f>
        <v>16</v>
      </c>
      <c r="AP44" s="12"/>
      <c r="AQ44" s="11" t="s">
        <v>7</v>
      </c>
      <c r="AR44" s="12">
        <f>AF42-AR43</f>
        <v>6</v>
      </c>
      <c r="AS44" s="13">
        <f t="shared" ref="AS44:AS47" si="66">IF(AB44="","",IF(AB44=AM44,1,0))</f>
        <v>1</v>
      </c>
      <c r="AT44" s="13">
        <f t="shared" ref="AT44:AT47" si="67">IF(AC44="","",IF(AC44=AN44,1,0))</f>
        <v>1</v>
      </c>
      <c r="AU44" s="13">
        <f>IF(AD44="","",IF(AD44=AO44,1,0))</f>
        <v>1</v>
      </c>
      <c r="AV44" s="13">
        <f t="shared" ref="AV44:AV47" si="68">IF(AI44="","",IF(AI44=AR44,1,0))</f>
        <v>1</v>
      </c>
    </row>
    <row r="45" spans="1:48" x14ac:dyDescent="0.35">
      <c r="A45" s="40"/>
      <c r="B45" s="14" t="s">
        <v>5</v>
      </c>
      <c r="C45" s="15">
        <f t="shared" ref="C45:C47" si="69">$C$2</f>
        <v>192</v>
      </c>
      <c r="D45" s="22">
        <v>168</v>
      </c>
      <c r="E45" s="23">
        <v>60</v>
      </c>
      <c r="F45" s="24">
        <v>249</v>
      </c>
      <c r="G45" s="48">
        <f t="shared" si="61"/>
        <v>3</v>
      </c>
      <c r="J45" s="10" t="s">
        <v>21</v>
      </c>
      <c r="K45" s="26">
        <v>4</v>
      </c>
      <c r="L45" s="47">
        <f t="shared" si="59"/>
        <v>1</v>
      </c>
      <c r="M45" s="11" t="s">
        <v>11</v>
      </c>
      <c r="N45" s="12">
        <f>C42</f>
        <v>192</v>
      </c>
      <c r="O45" s="12">
        <f>O44</f>
        <v>168</v>
      </c>
      <c r="P45" s="12">
        <f>P44</f>
        <v>60</v>
      </c>
      <c r="Q45" s="12">
        <f>Q44+1</f>
        <v>249</v>
      </c>
      <c r="R45" s="12"/>
      <c r="S45" s="11" t="s">
        <v>16</v>
      </c>
      <c r="T45" s="12">
        <f>256/2^IF(T44&lt;8,T44,IF(T44&lt;16,T44-8,IF(T44&lt;24,T44-16,T44-24)))</f>
        <v>4</v>
      </c>
      <c r="U45" s="13">
        <f t="shared" si="62"/>
        <v>1</v>
      </c>
      <c r="V45" s="13">
        <f t="shared" si="63"/>
        <v>1</v>
      </c>
      <c r="W45" s="13">
        <f>IF(F45="","",IF(F45=Q45,1,0))</f>
        <v>1</v>
      </c>
      <c r="X45" s="42">
        <f t="shared" si="64"/>
        <v>1</v>
      </c>
      <c r="Y45" s="40"/>
      <c r="Z45" s="14" t="s">
        <v>5</v>
      </c>
      <c r="AA45" s="15">
        <f t="shared" ref="AA45:AA47" si="70">$C$2</f>
        <v>192</v>
      </c>
      <c r="AB45" s="22">
        <v>168</v>
      </c>
      <c r="AC45" s="23">
        <v>120</v>
      </c>
      <c r="AD45" s="24">
        <v>17</v>
      </c>
      <c r="AE45" s="48">
        <f t="shared" si="65"/>
        <v>3</v>
      </c>
      <c r="AH45" s="10" t="s">
        <v>21</v>
      </c>
      <c r="AI45" s="26">
        <v>4</v>
      </c>
      <c r="AJ45" s="47">
        <f t="shared" si="60"/>
        <v>1</v>
      </c>
      <c r="AK45" s="11" t="s">
        <v>11</v>
      </c>
      <c r="AL45" s="12">
        <f>AA42</f>
        <v>192</v>
      </c>
      <c r="AM45" s="12">
        <f>AM44</f>
        <v>168</v>
      </c>
      <c r="AN45" s="12">
        <f>AN44</f>
        <v>120</v>
      </c>
      <c r="AO45" s="12">
        <f>AO44+1</f>
        <v>17</v>
      </c>
      <c r="AP45" s="12"/>
      <c r="AQ45" s="11" t="s">
        <v>16</v>
      </c>
      <c r="AR45" s="12">
        <f>256/2^IF(AR44&lt;8,AR44,IF(AR44&lt;16,AR44-8,IF(AR44&lt;24,AR44-16,AR44-24)))</f>
        <v>4</v>
      </c>
      <c r="AS45" s="13">
        <f t="shared" si="66"/>
        <v>1</v>
      </c>
      <c r="AT45" s="13">
        <f t="shared" si="67"/>
        <v>1</v>
      </c>
      <c r="AU45" s="13">
        <f>IF(AD45="","",IF(AD45=AO45,1,0))</f>
        <v>1</v>
      </c>
      <c r="AV45" s="13">
        <f t="shared" si="68"/>
        <v>1</v>
      </c>
    </row>
    <row r="46" spans="1:48" x14ac:dyDescent="0.35">
      <c r="A46" s="40"/>
      <c r="B46" s="14" t="s">
        <v>6</v>
      </c>
      <c r="C46" s="15">
        <f t="shared" si="69"/>
        <v>192</v>
      </c>
      <c r="D46" s="22">
        <v>168</v>
      </c>
      <c r="E46" s="23">
        <v>60</v>
      </c>
      <c r="F46" s="24">
        <v>250</v>
      </c>
      <c r="G46" s="48">
        <f t="shared" si="61"/>
        <v>3</v>
      </c>
      <c r="J46" s="10" t="s">
        <v>22</v>
      </c>
      <c r="K46" s="26">
        <v>64</v>
      </c>
      <c r="L46" s="47">
        <f t="shared" si="59"/>
        <v>1</v>
      </c>
      <c r="M46" s="11" t="s">
        <v>12</v>
      </c>
      <c r="N46" s="12">
        <f>C42</f>
        <v>192</v>
      </c>
      <c r="O46" s="12">
        <f>O47</f>
        <v>168</v>
      </c>
      <c r="P46" s="12">
        <f>P47</f>
        <v>60</v>
      </c>
      <c r="Q46" s="12">
        <f>Q47-1</f>
        <v>250</v>
      </c>
      <c r="R46" s="12"/>
      <c r="S46" s="11" t="s">
        <v>15</v>
      </c>
      <c r="T46" s="16">
        <f>2^T44</f>
        <v>64</v>
      </c>
      <c r="U46" s="13">
        <f t="shared" si="62"/>
        <v>1</v>
      </c>
      <c r="V46" s="13">
        <f t="shared" si="63"/>
        <v>1</v>
      </c>
      <c r="W46" s="13">
        <f>IF(F46="","",IF(F46=Q46,1,0))</f>
        <v>1</v>
      </c>
      <c r="X46" s="42">
        <f t="shared" si="64"/>
        <v>1</v>
      </c>
      <c r="Y46" s="40"/>
      <c r="Z46" s="14" t="s">
        <v>6</v>
      </c>
      <c r="AA46" s="15">
        <f t="shared" si="70"/>
        <v>192</v>
      </c>
      <c r="AB46" s="22">
        <v>168</v>
      </c>
      <c r="AC46" s="23">
        <v>120</v>
      </c>
      <c r="AD46" s="24">
        <v>18</v>
      </c>
      <c r="AE46" s="48">
        <f t="shared" si="65"/>
        <v>3</v>
      </c>
      <c r="AH46" s="10" t="s">
        <v>22</v>
      </c>
      <c r="AI46" s="26">
        <v>64</v>
      </c>
      <c r="AJ46" s="47">
        <f t="shared" si="60"/>
        <v>1</v>
      </c>
      <c r="AK46" s="11" t="s">
        <v>12</v>
      </c>
      <c r="AL46" s="12">
        <f>AA42</f>
        <v>192</v>
      </c>
      <c r="AM46" s="12">
        <f>AM47</f>
        <v>168</v>
      </c>
      <c r="AN46" s="12">
        <f>AN47</f>
        <v>120</v>
      </c>
      <c r="AO46" s="12">
        <f>AO47-1</f>
        <v>18</v>
      </c>
      <c r="AP46" s="12"/>
      <c r="AQ46" s="11" t="s">
        <v>15</v>
      </c>
      <c r="AR46" s="16">
        <f>2^AR44</f>
        <v>64</v>
      </c>
      <c r="AS46" s="13">
        <f t="shared" si="66"/>
        <v>1</v>
      </c>
      <c r="AT46" s="13">
        <f t="shared" si="67"/>
        <v>1</v>
      </c>
      <c r="AU46" s="13">
        <f>IF(AD46="","",IF(AD46=AO46,1,0))</f>
        <v>1</v>
      </c>
      <c r="AV46" s="13">
        <f t="shared" si="68"/>
        <v>1</v>
      </c>
    </row>
    <row r="47" spans="1:48" x14ac:dyDescent="0.35">
      <c r="A47" s="40"/>
      <c r="B47" s="14" t="s">
        <v>1</v>
      </c>
      <c r="C47" s="15">
        <f t="shared" si="69"/>
        <v>192</v>
      </c>
      <c r="D47" s="22">
        <v>168</v>
      </c>
      <c r="E47" s="23">
        <v>60</v>
      </c>
      <c r="F47" s="24">
        <v>251</v>
      </c>
      <c r="G47" s="48">
        <f t="shared" si="61"/>
        <v>3</v>
      </c>
      <c r="J47" s="10" t="s">
        <v>23</v>
      </c>
      <c r="K47" s="26">
        <v>2</v>
      </c>
      <c r="L47" s="47">
        <f t="shared" si="59"/>
        <v>1</v>
      </c>
      <c r="M47" s="11" t="s">
        <v>10</v>
      </c>
      <c r="N47" s="12">
        <f>C42</f>
        <v>192</v>
      </c>
      <c r="O47" s="12">
        <f>IF(O43=255,D42,O44+T45-1)</f>
        <v>168</v>
      </c>
      <c r="P47" s="12">
        <f>IF(P43=0,255,IF(P43=255,E42,P44+T45-1))</f>
        <v>60</v>
      </c>
      <c r="Q47" s="12">
        <f>IF(Q43=0,255,Q44+T45-1)</f>
        <v>251</v>
      </c>
      <c r="R47" s="12"/>
      <c r="S47" s="11" t="s">
        <v>17</v>
      </c>
      <c r="T47" s="12">
        <f>(2^(32-T43-T44))-2</f>
        <v>2</v>
      </c>
      <c r="U47" s="13">
        <f t="shared" si="62"/>
        <v>1</v>
      </c>
      <c r="V47" s="13">
        <f t="shared" si="63"/>
        <v>1</v>
      </c>
      <c r="W47" s="13">
        <f>IF(F47="","",IF(F47=Q47,1,0))</f>
        <v>1</v>
      </c>
      <c r="X47" s="42">
        <f t="shared" si="64"/>
        <v>1</v>
      </c>
      <c r="Y47" s="43"/>
      <c r="Z47" s="14" t="s">
        <v>1</v>
      </c>
      <c r="AA47" s="15">
        <f t="shared" si="70"/>
        <v>192</v>
      </c>
      <c r="AB47" s="22">
        <v>168</v>
      </c>
      <c r="AC47" s="23">
        <v>120</v>
      </c>
      <c r="AD47" s="24">
        <v>19</v>
      </c>
      <c r="AE47" s="48">
        <f t="shared" si="65"/>
        <v>3</v>
      </c>
      <c r="AH47" s="10" t="s">
        <v>23</v>
      </c>
      <c r="AI47" s="26">
        <v>2</v>
      </c>
      <c r="AJ47" s="47">
        <f t="shared" si="60"/>
        <v>1</v>
      </c>
      <c r="AK47" s="11" t="s">
        <v>10</v>
      </c>
      <c r="AL47" s="12">
        <f>AA42</f>
        <v>192</v>
      </c>
      <c r="AM47" s="12">
        <f>IF(AM43=255,AB42,AM44+AR45-1)</f>
        <v>168</v>
      </c>
      <c r="AN47" s="12">
        <f>IF(AN43=0,255,IF(AN43=255,AC42,AN44+AR45-1))</f>
        <v>120</v>
      </c>
      <c r="AO47" s="12">
        <f>IF(AO43=0,255,AO44+AR45-1)</f>
        <v>19</v>
      </c>
      <c r="AP47" s="12"/>
      <c r="AQ47" s="11" t="s">
        <v>17</v>
      </c>
      <c r="AR47" s="12">
        <f>(2^(32-AR43-AR44))-2</f>
        <v>2</v>
      </c>
      <c r="AS47" s="13">
        <f t="shared" si="66"/>
        <v>1</v>
      </c>
      <c r="AT47" s="13">
        <f t="shared" si="67"/>
        <v>1</v>
      </c>
      <c r="AU47" s="13">
        <f>IF(AD47="","",IF(AD47=AO47,1,0))</f>
        <v>1</v>
      </c>
      <c r="AV47" s="13">
        <f t="shared" si="68"/>
        <v>1</v>
      </c>
    </row>
    <row r="48" spans="1:48" x14ac:dyDescent="0.35">
      <c r="A48" s="41"/>
      <c r="B48" s="28"/>
      <c r="C48" s="29"/>
      <c r="D48" s="29"/>
      <c r="E48" s="30"/>
      <c r="F48" s="31"/>
      <c r="G48" s="28"/>
      <c r="H48" s="28"/>
      <c r="I48" s="28"/>
      <c r="J48" s="28"/>
      <c r="K48" s="28"/>
      <c r="L48" s="38"/>
      <c r="M48" s="28"/>
      <c r="N48" s="28"/>
      <c r="O48" s="28"/>
      <c r="P48" s="28"/>
      <c r="Q48" s="28"/>
      <c r="R48" s="28"/>
      <c r="S48" s="28"/>
      <c r="T48" s="28"/>
      <c r="U48" s="46"/>
      <c r="V48" s="46"/>
      <c r="W48" s="28"/>
      <c r="X48" s="28"/>
      <c r="Y48" s="41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3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</row>
    <row r="49" spans="1:36" s="2" customFormat="1" x14ac:dyDescent="0.35">
      <c r="A49" s="8"/>
      <c r="L49" s="8"/>
      <c r="Y49" s="12"/>
      <c r="AJ49" s="8"/>
    </row>
    <row r="55" spans="1:36" x14ac:dyDescent="0.35">
      <c r="Y55" s="8"/>
    </row>
    <row r="56" spans="1:36" s="2" customFormat="1" x14ac:dyDescent="0.35">
      <c r="A56" s="8"/>
      <c r="L56" s="8"/>
      <c r="Y56" s="12"/>
      <c r="AJ56" s="8"/>
    </row>
    <row r="62" spans="1:36" x14ac:dyDescent="0.35">
      <c r="Y62" s="8"/>
    </row>
    <row r="63" spans="1:36" s="2" customFormat="1" x14ac:dyDescent="0.35">
      <c r="A63" s="8"/>
      <c r="L63" s="8"/>
      <c r="Y63" s="12"/>
      <c r="AJ63" s="8"/>
    </row>
    <row r="69" spans="1:36" x14ac:dyDescent="0.35">
      <c r="Y69" s="8"/>
    </row>
    <row r="70" spans="1:36" s="2" customFormat="1" x14ac:dyDescent="0.35">
      <c r="A70" s="8"/>
      <c r="L70" s="8"/>
      <c r="Y70" s="12"/>
      <c r="AJ70" s="8"/>
    </row>
    <row r="76" spans="1:36" x14ac:dyDescent="0.35">
      <c r="Y76" s="8"/>
    </row>
    <row r="77" spans="1:36" s="2" customFormat="1" x14ac:dyDescent="0.35">
      <c r="A77" s="8"/>
      <c r="L77" s="8"/>
      <c r="Y77" s="12"/>
      <c r="AJ77" s="8"/>
    </row>
    <row r="83" spans="1:36" x14ac:dyDescent="0.35">
      <c r="Y83" s="8"/>
    </row>
    <row r="84" spans="1:36" s="2" customFormat="1" x14ac:dyDescent="0.35">
      <c r="A84" s="8"/>
      <c r="L84" s="8"/>
      <c r="Y84" s="12"/>
      <c r="AJ84" s="8"/>
    </row>
    <row r="90" spans="1:36" x14ac:dyDescent="0.35">
      <c r="A90" s="3"/>
      <c r="C90" s="17"/>
      <c r="D90" s="17"/>
      <c r="E90" s="18"/>
      <c r="U90" s="12"/>
      <c r="V90" s="12"/>
      <c r="Y90" s="19"/>
    </row>
    <row r="91" spans="1:36" s="20" customFormat="1" x14ac:dyDescent="0.35">
      <c r="A91" s="3"/>
      <c r="B91"/>
      <c r="C91" s="17"/>
      <c r="D91" s="17"/>
      <c r="E91" s="19"/>
      <c r="F91" s="19"/>
      <c r="G91"/>
      <c r="L91" s="19"/>
      <c r="Y91" s="19"/>
      <c r="AJ91" s="19"/>
    </row>
    <row r="92" spans="1:36" s="20" customFormat="1" x14ac:dyDescent="0.35">
      <c r="A92" s="3"/>
      <c r="B92"/>
      <c r="C92" s="17"/>
      <c r="D92" s="17"/>
      <c r="E92" s="19"/>
      <c r="F92" s="19"/>
      <c r="G92"/>
      <c r="L92" s="19"/>
      <c r="Y92" s="19"/>
      <c r="AJ92" s="19"/>
    </row>
    <row r="93" spans="1:36" s="20" customFormat="1" x14ac:dyDescent="0.35">
      <c r="A93" s="3"/>
      <c r="B93"/>
      <c r="C93" s="17"/>
      <c r="D93" s="17"/>
      <c r="E93" s="19"/>
      <c r="F93" s="19"/>
      <c r="G93"/>
      <c r="L93" s="19"/>
      <c r="Y93" s="19"/>
      <c r="AJ93" s="19"/>
    </row>
    <row r="94" spans="1:36" s="20" customFormat="1" x14ac:dyDescent="0.35">
      <c r="A94" s="3"/>
      <c r="B94"/>
      <c r="C94" s="17"/>
      <c r="D94" s="17"/>
      <c r="E94" s="19"/>
      <c r="F94" s="19"/>
      <c r="G94"/>
      <c r="L94" s="19"/>
      <c r="Y94" s="19"/>
      <c r="AJ94" s="19"/>
    </row>
    <row r="95" spans="1:36" s="20" customFormat="1" x14ac:dyDescent="0.35">
      <c r="A95" s="3"/>
      <c r="B95"/>
      <c r="C95" s="17"/>
      <c r="D95" s="17"/>
      <c r="E95" s="19"/>
      <c r="F95" s="19"/>
      <c r="G95"/>
      <c r="L95" s="19"/>
      <c r="Y95" s="19"/>
      <c r="AJ95" s="19"/>
    </row>
    <row r="96" spans="1:36" s="20" customFormat="1" x14ac:dyDescent="0.35">
      <c r="A96" s="3"/>
      <c r="B96"/>
      <c r="C96" s="17"/>
      <c r="D96" s="17"/>
      <c r="E96" s="19"/>
      <c r="F96" s="19"/>
      <c r="G96"/>
      <c r="L96" s="19"/>
      <c r="Y96" s="19"/>
      <c r="AJ96" s="19"/>
    </row>
    <row r="97" spans="1:36" s="20" customFormat="1" x14ac:dyDescent="0.35">
      <c r="A97" s="3"/>
      <c r="B97"/>
      <c r="C97" s="17"/>
      <c r="D97" s="17"/>
      <c r="E97" s="19"/>
      <c r="F97" s="19"/>
      <c r="G97"/>
      <c r="L97" s="19"/>
      <c r="Y97" s="19"/>
      <c r="AJ97" s="19"/>
    </row>
    <row r="98" spans="1:36" s="20" customFormat="1" x14ac:dyDescent="0.35">
      <c r="A98" s="3"/>
      <c r="B98"/>
      <c r="C98" s="17"/>
      <c r="D98" s="17"/>
      <c r="E98" s="19"/>
      <c r="F98" s="19"/>
      <c r="G98"/>
      <c r="L98" s="19"/>
      <c r="Y98" s="19"/>
      <c r="AJ98" s="19"/>
    </row>
    <row r="99" spans="1:36" s="20" customFormat="1" x14ac:dyDescent="0.35">
      <c r="A99" s="3"/>
      <c r="B99"/>
      <c r="C99" s="17"/>
      <c r="D99" s="17"/>
      <c r="E99" s="19"/>
      <c r="F99" s="19"/>
      <c r="G99"/>
      <c r="L99" s="19"/>
      <c r="Y99" s="19"/>
      <c r="AJ99" s="19"/>
    </row>
    <row r="100" spans="1:36" s="20" customFormat="1" x14ac:dyDescent="0.35">
      <c r="A100" s="3"/>
      <c r="B100"/>
      <c r="C100" s="17"/>
      <c r="D100" s="17"/>
      <c r="E100" s="19"/>
      <c r="F100" s="19"/>
      <c r="G100"/>
      <c r="L100" s="19"/>
      <c r="Y100" s="19"/>
      <c r="AJ100" s="19"/>
    </row>
    <row r="101" spans="1:36" s="20" customFormat="1" x14ac:dyDescent="0.35">
      <c r="A101" s="3"/>
      <c r="B101"/>
      <c r="C101" s="17"/>
      <c r="D101" s="17"/>
      <c r="E101" s="19"/>
      <c r="F101" s="19"/>
      <c r="G101"/>
      <c r="L101" s="19"/>
      <c r="Y101" s="19"/>
      <c r="AJ101" s="19"/>
    </row>
    <row r="102" spans="1:36" s="20" customFormat="1" x14ac:dyDescent="0.35">
      <c r="A102" s="3"/>
      <c r="B102"/>
      <c r="C102" s="17"/>
      <c r="D102" s="17"/>
      <c r="E102" s="19"/>
      <c r="F102" s="19"/>
      <c r="G102"/>
      <c r="L102" s="19"/>
      <c r="Y102" s="19"/>
      <c r="AJ102" s="19"/>
    </row>
    <row r="103" spans="1:36" s="20" customFormat="1" x14ac:dyDescent="0.35">
      <c r="A103" s="3"/>
      <c r="B103"/>
      <c r="C103" s="17"/>
      <c r="D103" s="17"/>
      <c r="E103" s="19"/>
      <c r="F103" s="19"/>
      <c r="G103"/>
      <c r="L103" s="19"/>
      <c r="Y103" s="19"/>
      <c r="AJ103" s="19"/>
    </row>
    <row r="104" spans="1:36" s="20" customFormat="1" x14ac:dyDescent="0.35">
      <c r="A104" s="3"/>
      <c r="B104"/>
      <c r="C104" s="17"/>
      <c r="D104" s="17"/>
      <c r="E104" s="19"/>
      <c r="F104" s="19"/>
      <c r="G104"/>
      <c r="L104" s="19"/>
      <c r="Y104" s="19"/>
      <c r="AJ104" s="19"/>
    </row>
    <row r="105" spans="1:36" s="20" customFormat="1" x14ac:dyDescent="0.35">
      <c r="A105" s="3"/>
      <c r="B105"/>
      <c r="C105" s="17"/>
      <c r="D105" s="17"/>
      <c r="E105" s="19"/>
      <c r="F105" s="19"/>
      <c r="G105"/>
      <c r="L105" s="19"/>
      <c r="Y105" s="19"/>
      <c r="AJ105" s="19"/>
    </row>
    <row r="106" spans="1:36" s="20" customFormat="1" x14ac:dyDescent="0.35">
      <c r="A106" s="3"/>
      <c r="B106"/>
      <c r="C106" s="17"/>
      <c r="D106" s="17"/>
      <c r="E106" s="19"/>
      <c r="F106" s="19"/>
      <c r="G106"/>
      <c r="L106" s="19"/>
      <c r="Y106" s="19"/>
      <c r="AJ106" s="19"/>
    </row>
    <row r="107" spans="1:36" s="20" customFormat="1" x14ac:dyDescent="0.35">
      <c r="A107" s="3"/>
      <c r="B107"/>
      <c r="C107" s="17"/>
      <c r="D107" s="17"/>
      <c r="E107" s="19"/>
      <c r="F107" s="19"/>
      <c r="G107"/>
      <c r="L107" s="19"/>
      <c r="Y107" s="19"/>
      <c r="AJ107" s="19"/>
    </row>
    <row r="108" spans="1:36" s="20" customFormat="1" x14ac:dyDescent="0.35">
      <c r="A108" s="3"/>
      <c r="B108"/>
      <c r="C108" s="17"/>
      <c r="D108" s="17"/>
      <c r="E108" s="19"/>
      <c r="F108" s="19"/>
      <c r="G108"/>
      <c r="L108" s="19"/>
      <c r="Y108" s="19"/>
      <c r="AJ108" s="19"/>
    </row>
    <row r="109" spans="1:36" s="20" customFormat="1" x14ac:dyDescent="0.35">
      <c r="A109" s="3"/>
      <c r="B109"/>
      <c r="C109" s="17"/>
      <c r="D109" s="17"/>
      <c r="E109" s="19"/>
      <c r="F109" s="19"/>
      <c r="G109"/>
      <c r="L109" s="19"/>
      <c r="Y109" s="19"/>
      <c r="AJ109" s="19"/>
    </row>
    <row r="110" spans="1:36" s="20" customFormat="1" x14ac:dyDescent="0.35">
      <c r="A110" s="3"/>
      <c r="B110"/>
      <c r="C110" s="17"/>
      <c r="D110" s="17"/>
      <c r="E110" s="19"/>
      <c r="F110" s="19"/>
      <c r="G110"/>
      <c r="L110" s="19"/>
      <c r="Y110" s="19"/>
      <c r="AJ110" s="19"/>
    </row>
    <row r="111" spans="1:36" s="20" customFormat="1" x14ac:dyDescent="0.35">
      <c r="A111" s="3"/>
      <c r="B111"/>
      <c r="C111" s="17"/>
      <c r="D111" s="17"/>
      <c r="E111" s="19"/>
      <c r="F111" s="19"/>
      <c r="G111"/>
      <c r="L111" s="19"/>
      <c r="Y111" s="19"/>
      <c r="AJ111" s="19"/>
    </row>
    <row r="112" spans="1:36" s="20" customFormat="1" x14ac:dyDescent="0.35">
      <c r="A112" s="3"/>
      <c r="B112"/>
      <c r="C112" s="17"/>
      <c r="D112" s="17"/>
      <c r="E112" s="19"/>
      <c r="F112" s="19"/>
      <c r="G112"/>
      <c r="L112" s="19"/>
      <c r="Y112" s="19"/>
      <c r="AJ112" s="19"/>
    </row>
    <row r="113" spans="1:36" s="20" customFormat="1" x14ac:dyDescent="0.35">
      <c r="A113" s="3"/>
      <c r="B113"/>
      <c r="C113" s="17"/>
      <c r="D113" s="17"/>
      <c r="E113" s="19"/>
      <c r="F113" s="19"/>
      <c r="G113"/>
      <c r="L113" s="19"/>
      <c r="Y113" s="19"/>
      <c r="AJ113" s="19"/>
    </row>
    <row r="114" spans="1:36" s="20" customFormat="1" x14ac:dyDescent="0.35">
      <c r="A114" s="3"/>
      <c r="B114"/>
      <c r="C114" s="17"/>
      <c r="D114" s="17"/>
      <c r="E114" s="19"/>
      <c r="F114" s="19"/>
      <c r="G114"/>
      <c r="L114" s="19"/>
      <c r="Y114" s="19"/>
      <c r="AJ114" s="19"/>
    </row>
    <row r="115" spans="1:36" s="20" customFormat="1" x14ac:dyDescent="0.35">
      <c r="A115" s="3"/>
      <c r="B115"/>
      <c r="C115" s="17"/>
      <c r="D115" s="17"/>
      <c r="E115" s="19"/>
      <c r="F115" s="19"/>
      <c r="G115"/>
      <c r="L115" s="19"/>
      <c r="Y115" s="19"/>
      <c r="AJ115" s="19"/>
    </row>
    <row r="116" spans="1:36" s="20" customFormat="1" x14ac:dyDescent="0.35">
      <c r="A116" s="3"/>
      <c r="B116"/>
      <c r="C116" s="17"/>
      <c r="D116" s="17"/>
      <c r="E116" s="19"/>
      <c r="F116" s="19"/>
      <c r="G116"/>
      <c r="L116" s="19"/>
      <c r="Y116" s="19"/>
      <c r="AJ116" s="19"/>
    </row>
    <row r="117" spans="1:36" s="20" customFormat="1" x14ac:dyDescent="0.35">
      <c r="A117" s="3"/>
      <c r="B117"/>
      <c r="C117" s="17"/>
      <c r="D117" s="17"/>
      <c r="E117" s="19"/>
      <c r="F117" s="19"/>
      <c r="G117"/>
      <c r="L117" s="19"/>
      <c r="Y117" s="19"/>
      <c r="AJ117" s="19"/>
    </row>
    <row r="118" spans="1:36" s="20" customFormat="1" x14ac:dyDescent="0.35">
      <c r="A118" s="3"/>
      <c r="B118"/>
      <c r="C118" s="17"/>
      <c r="D118" s="17"/>
      <c r="E118" s="19"/>
      <c r="F118" s="19"/>
      <c r="G118"/>
      <c r="L118" s="19"/>
      <c r="Y118" s="19"/>
      <c r="AJ118" s="19"/>
    </row>
    <row r="119" spans="1:36" s="20" customFormat="1" x14ac:dyDescent="0.35">
      <c r="A119" s="3"/>
      <c r="B119"/>
      <c r="C119" s="17"/>
      <c r="D119" s="17"/>
      <c r="E119" s="19"/>
      <c r="F119" s="19"/>
      <c r="G119"/>
      <c r="L119" s="19"/>
      <c r="Y119" s="19"/>
      <c r="AJ119" s="19"/>
    </row>
    <row r="120" spans="1:36" s="20" customFormat="1" x14ac:dyDescent="0.35">
      <c r="A120" s="3"/>
      <c r="B120"/>
      <c r="C120" s="17"/>
      <c r="D120" s="17"/>
      <c r="E120" s="19"/>
      <c r="F120" s="19"/>
      <c r="G120"/>
      <c r="L120" s="19"/>
      <c r="Y120" s="19"/>
      <c r="AJ120" s="19"/>
    </row>
    <row r="121" spans="1:36" s="20" customFormat="1" x14ac:dyDescent="0.35">
      <c r="A121" s="3"/>
      <c r="B121"/>
      <c r="C121" s="17"/>
      <c r="D121" s="17"/>
      <c r="E121" s="19"/>
      <c r="F121" s="19"/>
      <c r="G121"/>
      <c r="L121" s="19"/>
      <c r="Y121" s="19"/>
      <c r="AJ121" s="19"/>
    </row>
    <row r="122" spans="1:36" s="20" customFormat="1" x14ac:dyDescent="0.35">
      <c r="A122" s="3"/>
      <c r="B122"/>
      <c r="C122" s="17"/>
      <c r="D122" s="17"/>
      <c r="E122" s="19"/>
      <c r="F122" s="19"/>
      <c r="G122"/>
      <c r="L122" s="19"/>
      <c r="Y122" s="19"/>
      <c r="AJ122" s="19"/>
    </row>
    <row r="123" spans="1:36" s="20" customFormat="1" x14ac:dyDescent="0.35">
      <c r="A123" s="3"/>
      <c r="B123"/>
      <c r="C123" s="19"/>
      <c r="D123" s="17"/>
      <c r="E123" s="17"/>
      <c r="F123" s="19"/>
      <c r="G123"/>
      <c r="L123" s="19"/>
      <c r="Y123" s="19"/>
      <c r="AJ123" s="19"/>
    </row>
    <row r="124" spans="1:36" s="20" customFormat="1" x14ac:dyDescent="0.35">
      <c r="A124" s="8"/>
      <c r="B124"/>
      <c r="C124" s="19"/>
      <c r="D124" s="19"/>
      <c r="E124" s="19"/>
      <c r="F124" s="19"/>
      <c r="G124"/>
      <c r="H124"/>
      <c r="I124"/>
      <c r="L124" s="19"/>
      <c r="Y124" s="12"/>
      <c r="AJ124" s="19"/>
    </row>
  </sheetData>
  <sheetProtection algorithmName="SHA-512" hashValue="eOnL0JhYT/Yjp+C1zPenBWPPohKTV0CaY2kxWtG8rYYBnDd7pL3y0CA0TQWDOuq5kqDK958j/DaSkk3FZ1+J0A==" saltValue="VRQltHGNX9CfnVD7oljkLg==" spinCount="100000" sheet="1" selectLockedCells="1"/>
  <mergeCells count="24">
    <mergeCell ref="AS34:AT34"/>
    <mergeCell ref="AS42:AT42"/>
    <mergeCell ref="W2:X2"/>
    <mergeCell ref="W10:X10"/>
    <mergeCell ref="W18:X18"/>
    <mergeCell ref="W26:X26"/>
    <mergeCell ref="W34:X34"/>
    <mergeCell ref="W42:X42"/>
    <mergeCell ref="AU42:AV42"/>
    <mergeCell ref="U42:V42"/>
    <mergeCell ref="AS2:AT2"/>
    <mergeCell ref="AS10:AT10"/>
    <mergeCell ref="AS18:AT18"/>
    <mergeCell ref="AS26:AT26"/>
    <mergeCell ref="U2:V2"/>
    <mergeCell ref="U10:V10"/>
    <mergeCell ref="U18:V18"/>
    <mergeCell ref="U26:V26"/>
    <mergeCell ref="U34:V34"/>
    <mergeCell ref="AU2:AV2"/>
    <mergeCell ref="AU10:AV10"/>
    <mergeCell ref="AU18:AV18"/>
    <mergeCell ref="AU26:AV26"/>
    <mergeCell ref="AU34:AV34"/>
  </mergeCells>
  <conditionalFormatting sqref="G3:G8">
    <cfRule type="cellIs" dxfId="23" priority="48" operator="equal">
      <formula>"Incorrect"</formula>
    </cfRule>
    <cfRule type="cellIs" dxfId="22" priority="49" operator="equal">
      <formula>"Correct"</formula>
    </cfRule>
  </conditionalFormatting>
  <conditionalFormatting sqref="G11:G16">
    <cfRule type="cellIs" dxfId="21" priority="21" operator="equal">
      <formula>"Incorrect"</formula>
    </cfRule>
    <cfRule type="cellIs" dxfId="20" priority="22" operator="equal">
      <formula>"Correct"</formula>
    </cfRule>
  </conditionalFormatting>
  <conditionalFormatting sqref="G19:G24">
    <cfRule type="cellIs" dxfId="19" priority="19" operator="equal">
      <formula>"Incorrect"</formula>
    </cfRule>
    <cfRule type="cellIs" dxfId="18" priority="20" operator="equal">
      <formula>"Correct"</formula>
    </cfRule>
  </conditionalFormatting>
  <conditionalFormatting sqref="G27:G32">
    <cfRule type="cellIs" dxfId="17" priority="17" operator="equal">
      <formula>"Incorrect"</formula>
    </cfRule>
    <cfRule type="cellIs" dxfId="16" priority="18" operator="equal">
      <formula>"Correct"</formula>
    </cfRule>
  </conditionalFormatting>
  <conditionalFormatting sqref="G35:G40">
    <cfRule type="cellIs" dxfId="15" priority="15" operator="equal">
      <formula>"Incorrect"</formula>
    </cfRule>
    <cfRule type="cellIs" dxfId="14" priority="16" operator="equal">
      <formula>"Correct"</formula>
    </cfRule>
  </conditionalFormatting>
  <conditionalFormatting sqref="G43:G47">
    <cfRule type="cellIs" dxfId="13" priority="13" operator="equal">
      <formula>"Incorrect"</formula>
    </cfRule>
    <cfRule type="cellIs" dxfId="12" priority="14" operator="equal">
      <formula>"Correct"</formula>
    </cfRule>
  </conditionalFormatting>
  <conditionalFormatting sqref="AE3:AE8">
    <cfRule type="cellIs" dxfId="11" priority="11" operator="equal">
      <formula>"Incorrect"</formula>
    </cfRule>
    <cfRule type="cellIs" dxfId="10" priority="12" operator="equal">
      <formula>"Correct"</formula>
    </cfRule>
  </conditionalFormatting>
  <conditionalFormatting sqref="AE11:AE16">
    <cfRule type="cellIs" dxfId="9" priority="9" operator="equal">
      <formula>"Incorrect"</formula>
    </cfRule>
    <cfRule type="cellIs" dxfId="8" priority="10" operator="equal">
      <formula>"Correct"</formula>
    </cfRule>
  </conditionalFormatting>
  <conditionalFormatting sqref="AE19:AE24">
    <cfRule type="cellIs" dxfId="7" priority="7" operator="equal">
      <formula>"Incorrect"</formula>
    </cfRule>
    <cfRule type="cellIs" dxfId="6" priority="8" operator="equal">
      <formula>"Correct"</formula>
    </cfRule>
  </conditionalFormatting>
  <conditionalFormatting sqref="AE27:AE32">
    <cfRule type="cellIs" dxfId="5" priority="5" operator="equal">
      <formula>"Incorrect"</formula>
    </cfRule>
    <cfRule type="cellIs" dxfId="4" priority="6" operator="equal">
      <formula>"Correct"</formula>
    </cfRule>
  </conditionalFormatting>
  <conditionalFormatting sqref="AE35:AE40">
    <cfRule type="cellIs" dxfId="3" priority="3" operator="equal">
      <formula>"Incorrect"</formula>
    </cfRule>
    <cfRule type="cellIs" dxfId="2" priority="4" operator="equal">
      <formula>"Correct"</formula>
    </cfRule>
  </conditionalFormatting>
  <conditionalFormatting sqref="AE43:AE47">
    <cfRule type="cellIs" dxfId="1" priority="1" operator="equal">
      <formula>"Incorrect"</formula>
    </cfRule>
    <cfRule type="cellIs" dxfId="0" priority="2" operator="equal">
      <formula>"Correct"</formula>
    </cfRule>
  </conditionalFormatting>
  <dataValidations count="5">
    <dataValidation type="whole" allowBlank="1" showErrorMessage="1" errorTitle="Invalid Number!" error="Enter a value between 1 and 223" sqref="C2 C10 C18 C26 C34 C42 AA2 AA10 AA18 AA26 AA34 AA42" xr:uid="{00000000-0002-0000-0000-000000000000}">
      <formula1>1</formula1>
      <formula2>223</formula2>
    </dataValidation>
    <dataValidation type="whole" allowBlank="1" showErrorMessage="1" errorTitle="Invalid Number!" error="enter a value between 0 and 255" sqref="D2:F2 D10:F10 D18:F18 D26:F26 D34:F34 D42:F42 AB2:AD2 AB10:AD10 AB18:AD18 AB26:AD26 AB34:AD34 AB42:AD42" xr:uid="{00000000-0002-0000-0000-000001000000}">
      <formula1>0</formula1>
      <formula2>255</formula2>
    </dataValidation>
    <dataValidation type="whole" errorStyle="warning" allowBlank="1" showErrorMessage="1" errorTitle="Invalid Number!" error="enter a value between 8 and 30" sqref="H2:I2 H10:I10 H18:I18 H26:I26 H34:I34 H42:I42 AF2:AG2 AF10:AG10 AF18:AG18 AF26:AG26 AF34:AG34 AF42:AG42" xr:uid="{00000000-0002-0000-0000-000002000000}">
      <formula1>8</formula1>
      <formula2>30</formula2>
    </dataValidation>
    <dataValidation allowBlank="1" showErrorMessage="1" sqref="AA43 C3 C19 C27 C35 C43 AA3 AA11 AA19 AA27 AA35 C11" xr:uid="{00000000-0002-0000-0000-000003000000}"/>
    <dataValidation allowBlank="1" showErrorMessage="1" errorTitle="Invalid Number!" error="enter a value between 0 and 255" sqref="F3 F11 F19 F27 F35 F43 AD3 AD11 AD19 AD27 AD35 AD43" xr:uid="{00000000-0002-0000-0000-000004000000}"/>
  </dataValidations>
  <printOptions horizontalCentered="1" verticalCentered="1"/>
  <pageMargins left="0.70866141732283472" right="0.70866141732283472" top="0.55118110236220474" bottom="0.55118110236220474" header="0.31496062992125984" footer="0.31496062992125984"/>
  <pageSetup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BB24-27CA-481D-BCF9-E5996AD09336}">
  <dimension ref="A1:B15"/>
  <sheetViews>
    <sheetView workbookViewId="0">
      <selection activeCell="B17" sqref="B17"/>
    </sheetView>
  </sheetViews>
  <sheetFormatPr defaultRowHeight="14.5" x14ac:dyDescent="0.35"/>
  <sheetData>
    <row r="1" spans="1:2" x14ac:dyDescent="0.35">
      <c r="A1" t="s">
        <v>25</v>
      </c>
    </row>
    <row r="3" spans="1:2" x14ac:dyDescent="0.35">
      <c r="A3" s="12">
        <v>1</v>
      </c>
      <c r="B3" s="52" t="str">
        <f>'[1]Class C'!L1</f>
        <v/>
      </c>
    </row>
    <row r="4" spans="1:2" x14ac:dyDescent="0.35">
      <c r="A4" s="12">
        <v>2</v>
      </c>
      <c r="B4" s="52" t="str">
        <f>'[1]Class C'!L9</f>
        <v/>
      </c>
    </row>
    <row r="5" spans="1:2" x14ac:dyDescent="0.35">
      <c r="A5" s="12">
        <v>3</v>
      </c>
      <c r="B5" s="52" t="str">
        <f>'[1]Class C'!L17</f>
        <v/>
      </c>
    </row>
    <row r="6" spans="1:2" x14ac:dyDescent="0.35">
      <c r="A6" s="12">
        <v>4</v>
      </c>
      <c r="B6" s="52" t="str">
        <f>'[1]Class C'!L25</f>
        <v/>
      </c>
    </row>
    <row r="7" spans="1:2" x14ac:dyDescent="0.35">
      <c r="A7" s="12">
        <v>5</v>
      </c>
      <c r="B7" s="52" t="str">
        <f>'[1]Class C'!L33</f>
        <v/>
      </c>
    </row>
    <row r="8" spans="1:2" x14ac:dyDescent="0.35">
      <c r="A8" s="12">
        <v>6</v>
      </c>
      <c r="B8" s="52" t="str">
        <f>'[1]Class C'!L41</f>
        <v/>
      </c>
    </row>
    <row r="9" spans="1:2" x14ac:dyDescent="0.35">
      <c r="A9" s="12">
        <v>7</v>
      </c>
      <c r="B9" s="52" t="str">
        <f>'[1]Class C'!AJ1</f>
        <v/>
      </c>
    </row>
    <row r="10" spans="1:2" x14ac:dyDescent="0.35">
      <c r="A10" s="12">
        <v>8</v>
      </c>
      <c r="B10" s="52" t="str">
        <f>'[1]Class C'!AJ9</f>
        <v/>
      </c>
    </row>
    <row r="11" spans="1:2" x14ac:dyDescent="0.35">
      <c r="A11" s="12">
        <v>9</v>
      </c>
      <c r="B11" s="52" t="str">
        <f>'[1]Class C'!AJ17</f>
        <v/>
      </c>
    </row>
    <row r="12" spans="1:2" x14ac:dyDescent="0.35">
      <c r="A12" s="12">
        <v>10</v>
      </c>
      <c r="B12" s="52" t="str">
        <f>'[1]Class C'!AJ25</f>
        <v/>
      </c>
    </row>
    <row r="13" spans="1:2" x14ac:dyDescent="0.35">
      <c r="A13" s="12">
        <v>11</v>
      </c>
      <c r="B13" s="52" t="str">
        <f>'[1]Class C'!AJ33</f>
        <v/>
      </c>
    </row>
    <row r="14" spans="1:2" x14ac:dyDescent="0.35">
      <c r="A14" s="12">
        <v>12</v>
      </c>
      <c r="B14" s="52" t="str">
        <f>'[1]Class C'!AJ41</f>
        <v/>
      </c>
    </row>
    <row r="15" spans="1:2" x14ac:dyDescent="0.35">
      <c r="B15" s="52" t="e">
        <f>AVERAGE(B3:B14)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C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Wennerwald</dc:creator>
  <cp:lastModifiedBy>Chukwumeniem Faith Okirie</cp:lastModifiedBy>
  <cp:lastPrinted>2020-03-03T00:41:07Z</cp:lastPrinted>
  <dcterms:created xsi:type="dcterms:W3CDTF">2019-09-18T19:03:28Z</dcterms:created>
  <dcterms:modified xsi:type="dcterms:W3CDTF">2026-03-27T17:42:21Z</dcterms:modified>
</cp:coreProperties>
</file>